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comments12.xml" ContentType="application/vnd.openxmlformats-officedocument.spreadsheetml.comments+xml"/>
  <Override PartName="/xl/drawings/drawing14.xml" ContentType="application/vnd.openxmlformats-officedocument.drawing+xml"/>
  <Override PartName="/xl/comments13.xml" ContentType="application/vnd.openxmlformats-officedocument.spreadsheetml.comments+xml"/>
  <Override PartName="/xl/drawings/drawing15.xml" ContentType="application/vnd.openxmlformats-officedocument.drawing+xml"/>
  <Override PartName="/xl/comments14.xml" ContentType="application/vnd.openxmlformats-officedocument.spreadsheetml.comments+xml"/>
  <Override PartName="/xl/drawings/drawing16.xml" ContentType="application/vnd.openxmlformats-officedocument.drawing+xml"/>
  <Override PartName="/xl/comments15.xml" ContentType="application/vnd.openxmlformats-officedocument.spreadsheetml.comments+xml"/>
  <Override PartName="/xl/drawings/drawing17.xml" ContentType="application/vnd.openxmlformats-officedocument.drawing+xml"/>
  <Override PartName="/xl/comments16.xml" ContentType="application/vnd.openxmlformats-officedocument.spreadsheetml.comments+xml"/>
  <Override PartName="/xl/drawings/drawing18.xml" ContentType="application/vnd.openxmlformats-officedocument.drawing+xml"/>
  <Override PartName="/xl/comments17.xml" ContentType="application/vnd.openxmlformats-officedocument.spreadsheetml.comments+xml"/>
  <Override PartName="/xl/drawings/drawing19.xml" ContentType="application/vnd.openxmlformats-officedocument.drawing+xml"/>
  <Override PartName="/xl/comments18.xml" ContentType="application/vnd.openxmlformats-officedocument.spreadsheetml.comments+xml"/>
  <Override PartName="/xl/drawings/drawing20.xml" ContentType="application/vnd.openxmlformats-officedocument.drawing+xml"/>
  <Override PartName="/xl/comments19.xml" ContentType="application/vnd.openxmlformats-officedocument.spreadsheetml.comments+xml"/>
  <Override PartName="/xl/drawings/drawing21.xml" ContentType="application/vnd.openxmlformats-officedocument.drawing+xml"/>
  <Override PartName="/xl/comments20.xml" ContentType="application/vnd.openxmlformats-officedocument.spreadsheetml.comments+xml"/>
  <Override PartName="/xl/drawings/drawing22.xml" ContentType="application/vnd.openxmlformats-officedocument.drawing+xml"/>
  <Override PartName="/xl/comments21.xml" ContentType="application/vnd.openxmlformats-officedocument.spreadsheetml.comments+xml"/>
  <Override PartName="/xl/drawings/drawing23.xml" ContentType="application/vnd.openxmlformats-officedocument.drawing+xml"/>
  <Override PartName="/xl/comments22.xml" ContentType="application/vnd.openxmlformats-officedocument.spreadsheetml.comments+xml"/>
  <Override PartName="/xl/drawings/drawing24.xml" ContentType="application/vnd.openxmlformats-officedocument.drawing+xml"/>
  <Override PartName="/xl/comments23.xml" ContentType="application/vnd.openxmlformats-officedocument.spreadsheetml.comments+xml"/>
  <Override PartName="/xl/drawings/drawing25.xml" ContentType="application/vnd.openxmlformats-officedocument.drawing+xml"/>
  <Override PartName="/xl/comments24.xml" ContentType="application/vnd.openxmlformats-officedocument.spreadsheetml.comments+xml"/>
  <Override PartName="/xl/drawings/drawing26.xml" ContentType="application/vnd.openxmlformats-officedocument.drawing+xml"/>
  <Override PartName="/xl/comments25.xml" ContentType="application/vnd.openxmlformats-officedocument.spreadsheetml.comments+xml"/>
  <Override PartName="/xl/drawings/drawing27.xml" ContentType="application/vnd.openxmlformats-officedocument.drawing+xml"/>
  <Override PartName="/xl/comments26.xml" ContentType="application/vnd.openxmlformats-officedocument.spreadsheetml.comments+xml"/>
  <Override PartName="/xl/drawings/drawing28.xml" ContentType="application/vnd.openxmlformats-officedocument.drawing+xml"/>
  <Override PartName="/xl/comments27.xml" ContentType="application/vnd.openxmlformats-officedocument.spreadsheetml.comments+xml"/>
  <Override PartName="/xl/drawings/drawing29.xml" ContentType="application/vnd.openxmlformats-officedocument.drawing+xml"/>
  <Override PartName="/xl/comments28.xml" ContentType="application/vnd.openxmlformats-officedocument.spreadsheetml.comments+xml"/>
  <Override PartName="/xl/drawings/drawing30.xml" ContentType="application/vnd.openxmlformats-officedocument.drawing+xml"/>
  <Override PartName="/xl/comments2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hidePivotFieldList="1" defaultThemeVersion="124226"/>
  <mc:AlternateContent xmlns:mc="http://schemas.openxmlformats.org/markup-compatibility/2006">
    <mc:Choice Requires="x15">
      <x15ac:absPath xmlns:x15ac="http://schemas.microsoft.com/office/spreadsheetml/2010/11/ac" url="C:\Users\luizr\Desktop\"/>
    </mc:Choice>
  </mc:AlternateContent>
  <xr:revisionPtr revIDLastSave="0" documentId="13_ncr:1_{CA2CBC70-C957-456E-99D8-CC207D52B85F}" xr6:coauthVersionLast="41" xr6:coauthVersionMax="41" xr10:uidLastSave="{00000000-0000-0000-0000-000000000000}"/>
  <bookViews>
    <workbookView xWindow="-120" yWindow="-120" windowWidth="25440" windowHeight="15390" tabRatio="658" xr2:uid="{00000000-000D-0000-FFFF-FFFF00000000}"/>
  </bookViews>
  <sheets>
    <sheet name="HOME" sheetId="48" r:id="rId1"/>
    <sheet name="SusceptibleTBavPaed 4-7 AV" sheetId="49" r:id="rId2"/>
    <sheet name="SusceptibleTBavPaed 8-11 AV" sheetId="51" r:id="rId3"/>
    <sheet name="SusceptibleTBavPaed 12-15 AV" sheetId="54" r:id="rId4"/>
    <sheet name="SusceptibleTBavPaed 16-24 AV" sheetId="56" r:id="rId5"/>
    <sheet name="SusceptibleTBAdult av 25-39 AV" sheetId="46" r:id="rId6"/>
    <sheet name="SuscTBAdult av 25-39 Cheapest" sheetId="64" r:id="rId7"/>
    <sheet name="SusceptibleTBAdult av 40-54 AV" sheetId="44" r:id="rId8"/>
    <sheet name="SuscTBAdult av 40-54 Cheapest" sheetId="63" r:id="rId9"/>
    <sheet name="SusceptibleTBAdult av 55-70 AV" sheetId="40" r:id="rId10"/>
    <sheet name="SuscTBAdult av 55-70 Cheapest" sheetId="62" r:id="rId11"/>
    <sheet name="SusceptibleTBAdult av &gt; 70 AV" sheetId="42" r:id="rId12"/>
    <sheet name="SusceptibleTBAdult av&gt;70 Cheape" sheetId="61" r:id="rId13"/>
    <sheet name="Old LTR Km Eto" sheetId="68" r:id="rId14"/>
    <sheet name="Old LTR Km Eto cheapest" sheetId="100" r:id="rId15"/>
    <sheet name="Old LTR Mfx Km Eto" sheetId="69" r:id="rId16"/>
    <sheet name="Old LTR Km Pto" sheetId="70" r:id="rId17"/>
    <sheet name="Old LTR Mfx Cm Eto" sheetId="71" r:id="rId18"/>
    <sheet name="Old LTR Cm Eto" sheetId="72" r:id="rId19"/>
    <sheet name="Old LTR Cm Pto" sheetId="73" r:id="rId20"/>
    <sheet name="Old STR 30-50" sheetId="74" r:id="rId21"/>
    <sheet name="STR 30-50 Cheapest" sheetId="59" r:id="rId22"/>
    <sheet name="New LTR Mfx 6 Lnz" sheetId="75" r:id="rId23"/>
    <sheet name="New LTR Mfx 12 Lnz" sheetId="76" r:id="rId24"/>
    <sheet name="New LTR Lfx 6 Lnz" sheetId="77" r:id="rId25"/>
    <sheet name="New LTR Lfx 12 Lnz" sheetId="78" r:id="rId26"/>
    <sheet name="New STR 30-50 Am" sheetId="79" r:id="rId27"/>
    <sheet name="New STR 30-50 BDQ" sheetId="80" r:id="rId28"/>
    <sheet name="New LTR Kids" sheetId="102" r:id="rId29"/>
    <sheet name="Mod STR" sheetId="103" r:id="rId30"/>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22" i="48" l="1"/>
  <c r="I28" i="48"/>
  <c r="I27" i="48"/>
  <c r="J27" i="48" s="1"/>
  <c r="H27" i="48"/>
  <c r="T33" i="103" l="1"/>
  <c r="S29" i="103"/>
  <c r="S28" i="103"/>
  <c r="T28" i="103" s="1"/>
  <c r="S27" i="103"/>
  <c r="S26" i="103"/>
  <c r="S22" i="103"/>
  <c r="S20" i="103"/>
  <c r="T20" i="103" s="1"/>
  <c r="S21" i="103"/>
  <c r="S19" i="103"/>
  <c r="S18" i="103"/>
  <c r="T14" i="103"/>
  <c r="S14" i="103"/>
  <c r="S13" i="103"/>
  <c r="T13" i="103" s="1"/>
  <c r="S12" i="103"/>
  <c r="T12" i="103" s="1"/>
  <c r="S11" i="103"/>
  <c r="T11" i="103" s="1"/>
  <c r="S10" i="103"/>
  <c r="T10" i="103" s="1"/>
  <c r="S9" i="103"/>
  <c r="S8" i="103"/>
  <c r="T8" i="103" s="1"/>
  <c r="H15" i="102"/>
  <c r="I15" i="102" s="1"/>
  <c r="H14" i="102"/>
  <c r="I14" i="102" s="1"/>
  <c r="I13" i="102"/>
  <c r="H13" i="102"/>
  <c r="H12" i="102"/>
  <c r="I12" i="102" s="1"/>
  <c r="H11" i="102"/>
  <c r="I10" i="102"/>
  <c r="H10" i="102"/>
  <c r="S11" i="102"/>
  <c r="S12" i="102"/>
  <c r="S13" i="102"/>
  <c r="S14" i="102"/>
  <c r="S15" i="102"/>
  <c r="T26" i="103" l="1"/>
  <c r="T21" i="103"/>
  <c r="T18" i="103"/>
  <c r="T19" i="103"/>
  <c r="T27" i="103"/>
  <c r="T29" i="103"/>
  <c r="T30" i="103"/>
  <c r="T15" i="103"/>
  <c r="I16" i="102"/>
  <c r="T23" i="103" l="1"/>
  <c r="T15" i="102"/>
  <c r="T14" i="102"/>
  <c r="T13" i="102"/>
  <c r="T12" i="102"/>
  <c r="S10" i="102"/>
  <c r="T10" i="102" s="1"/>
  <c r="T16" i="102" l="1"/>
  <c r="I26" i="48"/>
  <c r="H26" i="48"/>
  <c r="I25" i="48"/>
  <c r="J25" i="48" s="1"/>
  <c r="H25" i="48"/>
  <c r="H24" i="48"/>
  <c r="H23" i="48"/>
  <c r="H22" i="48"/>
  <c r="L19" i="48"/>
  <c r="K19" i="48"/>
  <c r="S19" i="100"/>
  <c r="O19" i="100"/>
  <c r="T19" i="100" s="1"/>
  <c r="I19" i="100"/>
  <c r="H19" i="100"/>
  <c r="D19" i="100"/>
  <c r="S18" i="100"/>
  <c r="O18" i="100"/>
  <c r="T18" i="100" s="1"/>
  <c r="H18" i="100"/>
  <c r="D18" i="100"/>
  <c r="I18" i="100" s="1"/>
  <c r="S17" i="100"/>
  <c r="O17" i="100"/>
  <c r="T17" i="100" s="1"/>
  <c r="I17" i="100"/>
  <c r="H17" i="100"/>
  <c r="D17" i="100"/>
  <c r="S16" i="100"/>
  <c r="O16" i="100"/>
  <c r="T16" i="100" s="1"/>
  <c r="T20" i="100" s="1"/>
  <c r="H16" i="100"/>
  <c r="D16" i="100"/>
  <c r="I16" i="100" s="1"/>
  <c r="S12" i="100"/>
  <c r="T12" i="100" s="1"/>
  <c r="I12" i="100"/>
  <c r="H12" i="100"/>
  <c r="S11" i="100"/>
  <c r="T11" i="100" s="1"/>
  <c r="I11" i="100"/>
  <c r="H11" i="100"/>
  <c r="S10" i="100"/>
  <c r="T10" i="100" s="1"/>
  <c r="I10" i="100"/>
  <c r="H10" i="100"/>
  <c r="S9" i="100"/>
  <c r="T9" i="100" s="1"/>
  <c r="I9" i="100"/>
  <c r="H9" i="100"/>
  <c r="S8" i="100"/>
  <c r="T8" i="100" s="1"/>
  <c r="I8" i="100"/>
  <c r="H8" i="100"/>
  <c r="I20" i="48"/>
  <c r="H20" i="48"/>
  <c r="I19" i="48"/>
  <c r="H19" i="48"/>
  <c r="J26" i="48" l="1"/>
  <c r="I13" i="100"/>
  <c r="I20" i="100"/>
  <c r="I22" i="100" s="1"/>
  <c r="T13" i="100"/>
  <c r="T22" i="100" s="1"/>
  <c r="D12" i="56"/>
  <c r="D8" i="56"/>
  <c r="D12" i="54"/>
  <c r="D8" i="54"/>
  <c r="D12" i="51"/>
  <c r="D8" i="51"/>
  <c r="D12" i="49"/>
  <c r="D8" i="49"/>
  <c r="T21" i="80"/>
  <c r="S21" i="80"/>
  <c r="O21" i="80"/>
  <c r="H21" i="80"/>
  <c r="D21" i="80"/>
  <c r="I21" i="80" s="1"/>
  <c r="S20" i="80"/>
  <c r="O20" i="80"/>
  <c r="T20" i="80" s="1"/>
  <c r="I20" i="80"/>
  <c r="H20" i="80"/>
  <c r="D20" i="80"/>
  <c r="T19" i="80"/>
  <c r="S19" i="80"/>
  <c r="O19" i="80"/>
  <c r="H19" i="80"/>
  <c r="D19" i="80"/>
  <c r="I19" i="80" s="1"/>
  <c r="S18" i="80"/>
  <c r="O18" i="80"/>
  <c r="T18" i="80" s="1"/>
  <c r="I18" i="80"/>
  <c r="H18" i="80"/>
  <c r="D18" i="80"/>
  <c r="S14" i="80"/>
  <c r="T14" i="80" s="1"/>
  <c r="I14" i="80"/>
  <c r="H14" i="80"/>
  <c r="S13" i="80"/>
  <c r="T13" i="80" s="1"/>
  <c r="I13" i="80"/>
  <c r="H13" i="80"/>
  <c r="S12" i="80"/>
  <c r="T12" i="80" s="1"/>
  <c r="I12" i="80"/>
  <c r="H12" i="80"/>
  <c r="S11" i="80"/>
  <c r="T11" i="80" s="1"/>
  <c r="I11" i="80"/>
  <c r="H11" i="80"/>
  <c r="S10" i="80"/>
  <c r="T10" i="80" s="1"/>
  <c r="I10" i="80"/>
  <c r="H10" i="80"/>
  <c r="S9" i="80"/>
  <c r="H9" i="80"/>
  <c r="T8" i="80"/>
  <c r="S8" i="80"/>
  <c r="H8" i="80"/>
  <c r="I8" i="80" s="1"/>
  <c r="I15" i="80" s="1"/>
  <c r="B3" i="80"/>
  <c r="T21" i="79"/>
  <c r="S21" i="79"/>
  <c r="O21" i="79"/>
  <c r="I21" i="79"/>
  <c r="H21" i="79"/>
  <c r="D21" i="79"/>
  <c r="S20" i="79"/>
  <c r="O20" i="79"/>
  <c r="T20" i="79" s="1"/>
  <c r="H20" i="79"/>
  <c r="D20" i="79"/>
  <c r="I20" i="79" s="1"/>
  <c r="T19" i="79"/>
  <c r="S19" i="79"/>
  <c r="O19" i="79"/>
  <c r="I19" i="79"/>
  <c r="H19" i="79"/>
  <c r="D19" i="79"/>
  <c r="S18" i="79"/>
  <c r="O18" i="79"/>
  <c r="T18" i="79" s="1"/>
  <c r="T22" i="79" s="1"/>
  <c r="H18" i="79"/>
  <c r="D18" i="79"/>
  <c r="I18" i="79" s="1"/>
  <c r="S14" i="79"/>
  <c r="T14" i="79" s="1"/>
  <c r="I14" i="79"/>
  <c r="H14" i="79"/>
  <c r="S13" i="79"/>
  <c r="T13" i="79" s="1"/>
  <c r="I13" i="79"/>
  <c r="H13" i="79"/>
  <c r="S12" i="79"/>
  <c r="T12" i="79" s="1"/>
  <c r="I12" i="79"/>
  <c r="H12" i="79"/>
  <c r="S11" i="79"/>
  <c r="T11" i="79" s="1"/>
  <c r="I11" i="79"/>
  <c r="H11" i="79"/>
  <c r="S10" i="79"/>
  <c r="T10" i="79" s="1"/>
  <c r="I10" i="79"/>
  <c r="H10" i="79"/>
  <c r="S9" i="79"/>
  <c r="T9" i="79" s="1"/>
  <c r="I9" i="79"/>
  <c r="H9" i="79"/>
  <c r="S8" i="79"/>
  <c r="T8" i="79" s="1"/>
  <c r="T15" i="79" s="1"/>
  <c r="T24" i="79" s="1"/>
  <c r="I8" i="79"/>
  <c r="I15" i="79" s="1"/>
  <c r="H8" i="79"/>
  <c r="T14" i="78"/>
  <c r="S14" i="78"/>
  <c r="H14" i="78"/>
  <c r="I14" i="78" s="1"/>
  <c r="S13" i="78"/>
  <c r="T13" i="78" s="1"/>
  <c r="H13" i="78"/>
  <c r="I13" i="78" s="1"/>
  <c r="T12" i="78"/>
  <c r="S12" i="78"/>
  <c r="H12" i="78"/>
  <c r="I12" i="78" s="1"/>
  <c r="T11" i="78"/>
  <c r="O11" i="78"/>
  <c r="D11" i="78"/>
  <c r="I11" i="78" s="1"/>
  <c r="T10" i="78"/>
  <c r="S10" i="78"/>
  <c r="H10" i="78"/>
  <c r="I10" i="78" s="1"/>
  <c r="B5" i="78"/>
  <c r="T14" i="77"/>
  <c r="S14" i="77"/>
  <c r="H14" i="77"/>
  <c r="I14" i="77" s="1"/>
  <c r="T13" i="77"/>
  <c r="S13" i="77"/>
  <c r="H13" i="77"/>
  <c r="I13" i="77" s="1"/>
  <c r="T12" i="77"/>
  <c r="S12" i="77"/>
  <c r="H12" i="77"/>
  <c r="I12" i="77" s="1"/>
  <c r="T11" i="77"/>
  <c r="O11" i="77"/>
  <c r="D11" i="77"/>
  <c r="I11" i="77" s="1"/>
  <c r="T10" i="77"/>
  <c r="S10" i="77"/>
  <c r="H10" i="77"/>
  <c r="I10" i="77" s="1"/>
  <c r="B5" i="77"/>
  <c r="AC14" i="76"/>
  <c r="AB14" i="76"/>
  <c r="S14" i="76"/>
  <c r="T14" i="76" s="1"/>
  <c r="I14" i="76"/>
  <c r="H14" i="76"/>
  <c r="AB13" i="76"/>
  <c r="AC13" i="76" s="1"/>
  <c r="S13" i="76"/>
  <c r="T13" i="76" s="1"/>
  <c r="H13" i="76"/>
  <c r="I13" i="76" s="1"/>
  <c r="AC12" i="76"/>
  <c r="AB12" i="76"/>
  <c r="S12" i="76"/>
  <c r="T12" i="76" s="1"/>
  <c r="I12" i="76"/>
  <c r="H12" i="76"/>
  <c r="X11" i="76"/>
  <c r="AC11" i="76" s="1"/>
  <c r="T11" i="76"/>
  <c r="O11" i="76"/>
  <c r="D11" i="76"/>
  <c r="I11" i="76" s="1"/>
  <c r="AC10" i="76"/>
  <c r="AB10" i="76"/>
  <c r="S10" i="76"/>
  <c r="T10" i="76" s="1"/>
  <c r="I10" i="76"/>
  <c r="I15" i="76" s="1"/>
  <c r="H10" i="76"/>
  <c r="B5" i="76"/>
  <c r="T14" i="75"/>
  <c r="S14" i="75"/>
  <c r="H14" i="75"/>
  <c r="I14" i="75" s="1"/>
  <c r="S13" i="75"/>
  <c r="T13" i="75" s="1"/>
  <c r="H13" i="75"/>
  <c r="I13" i="75" s="1"/>
  <c r="T12" i="75"/>
  <c r="S12" i="75"/>
  <c r="H12" i="75"/>
  <c r="I12" i="75" s="1"/>
  <c r="T11" i="75"/>
  <c r="O11" i="75"/>
  <c r="D11" i="75"/>
  <c r="I11" i="75" s="1"/>
  <c r="S10" i="75"/>
  <c r="T10" i="75" s="1"/>
  <c r="H10" i="75"/>
  <c r="I10" i="75" s="1"/>
  <c r="B5" i="75"/>
  <c r="S21" i="74"/>
  <c r="O21" i="74"/>
  <c r="T21" i="74" s="1"/>
  <c r="I21" i="74"/>
  <c r="H21" i="74"/>
  <c r="D21" i="74"/>
  <c r="T20" i="74"/>
  <c r="S20" i="74"/>
  <c r="O20" i="74"/>
  <c r="H20" i="74"/>
  <c r="D20" i="74"/>
  <c r="I20" i="74" s="1"/>
  <c r="S19" i="74"/>
  <c r="O19" i="74"/>
  <c r="T19" i="74" s="1"/>
  <c r="I19" i="74"/>
  <c r="H19" i="74"/>
  <c r="D19" i="74"/>
  <c r="T18" i="74"/>
  <c r="T22" i="74" s="1"/>
  <c r="S18" i="74"/>
  <c r="O18" i="74"/>
  <c r="H18" i="74"/>
  <c r="D18" i="74"/>
  <c r="I18" i="74" s="1"/>
  <c r="I22" i="74" s="1"/>
  <c r="T14" i="74"/>
  <c r="S14" i="74"/>
  <c r="H14" i="74"/>
  <c r="I14" i="74" s="1"/>
  <c r="T13" i="74"/>
  <c r="S13" i="74"/>
  <c r="I13" i="74"/>
  <c r="H13" i="74"/>
  <c r="T12" i="74"/>
  <c r="S12" i="74"/>
  <c r="I12" i="74"/>
  <c r="H12" i="74"/>
  <c r="T11" i="74"/>
  <c r="S11" i="74"/>
  <c r="I11" i="74"/>
  <c r="H11" i="74"/>
  <c r="T10" i="74"/>
  <c r="S10" i="74"/>
  <c r="I10" i="74"/>
  <c r="H10" i="74"/>
  <c r="T9" i="74"/>
  <c r="S9" i="74"/>
  <c r="I9" i="74"/>
  <c r="H9" i="74"/>
  <c r="T8" i="74"/>
  <c r="T15" i="74" s="1"/>
  <c r="S8" i="74"/>
  <c r="I8" i="74"/>
  <c r="H8" i="74"/>
  <c r="T19" i="73"/>
  <c r="S19" i="73"/>
  <c r="O19" i="73"/>
  <c r="H19" i="73"/>
  <c r="D19" i="73"/>
  <c r="S18" i="73"/>
  <c r="O18" i="73"/>
  <c r="T18" i="73" s="1"/>
  <c r="I18" i="73"/>
  <c r="H18" i="73"/>
  <c r="D18" i="73"/>
  <c r="T17" i="73"/>
  <c r="S17" i="73"/>
  <c r="O17" i="73"/>
  <c r="H17" i="73"/>
  <c r="D17" i="73"/>
  <c r="I17" i="73" s="1"/>
  <c r="S16" i="73"/>
  <c r="O16" i="73"/>
  <c r="T16" i="73" s="1"/>
  <c r="I16" i="73"/>
  <c r="H16" i="73"/>
  <c r="D16" i="73"/>
  <c r="I15" i="73"/>
  <c r="S12" i="73"/>
  <c r="T12" i="73" s="1"/>
  <c r="I12" i="73"/>
  <c r="H12" i="73"/>
  <c r="S11" i="73"/>
  <c r="T11" i="73" s="1"/>
  <c r="I11" i="73"/>
  <c r="H11" i="73"/>
  <c r="S10" i="73"/>
  <c r="T10" i="73" s="1"/>
  <c r="I10" i="73"/>
  <c r="H10" i="73"/>
  <c r="S9" i="73"/>
  <c r="T9" i="73" s="1"/>
  <c r="I9" i="73"/>
  <c r="H9" i="73"/>
  <c r="S8" i="73"/>
  <c r="T8" i="73" s="1"/>
  <c r="I8" i="73"/>
  <c r="I13" i="73" s="1"/>
  <c r="H8" i="73"/>
  <c r="I39" i="72"/>
  <c r="H39" i="72"/>
  <c r="D39" i="72"/>
  <c r="I38" i="72"/>
  <c r="H38" i="72"/>
  <c r="D38" i="72"/>
  <c r="H37" i="72"/>
  <c r="D37" i="72"/>
  <c r="H33" i="72"/>
  <c r="D33" i="72"/>
  <c r="I33" i="72" s="1"/>
  <c r="H32" i="72"/>
  <c r="D32" i="72"/>
  <c r="I32" i="72" s="1"/>
  <c r="I31" i="72"/>
  <c r="H31" i="72"/>
  <c r="D31" i="72"/>
  <c r="I30" i="72"/>
  <c r="I34" i="72" s="1"/>
  <c r="H30" i="72"/>
  <c r="D30" i="72"/>
  <c r="S19" i="72"/>
  <c r="O19" i="72"/>
  <c r="H19" i="72"/>
  <c r="D19" i="72"/>
  <c r="I19" i="72" s="1"/>
  <c r="T18" i="72"/>
  <c r="S18" i="72"/>
  <c r="O18" i="72"/>
  <c r="I18" i="72"/>
  <c r="H18" i="72"/>
  <c r="D18" i="72"/>
  <c r="S17" i="72"/>
  <c r="O17" i="72"/>
  <c r="T17" i="72" s="1"/>
  <c r="H17" i="72"/>
  <c r="D17" i="72"/>
  <c r="I17" i="72" s="1"/>
  <c r="T16" i="72"/>
  <c r="S16" i="72"/>
  <c r="O16" i="72"/>
  <c r="I16" i="72"/>
  <c r="H16" i="72"/>
  <c r="D16" i="72"/>
  <c r="T12" i="72"/>
  <c r="S12" i="72"/>
  <c r="H12" i="72"/>
  <c r="I12" i="72" s="1"/>
  <c r="T11" i="72"/>
  <c r="S11" i="72"/>
  <c r="H11" i="72"/>
  <c r="I11" i="72" s="1"/>
  <c r="T10" i="72"/>
  <c r="S10" i="72"/>
  <c r="H10" i="72"/>
  <c r="I10" i="72" s="1"/>
  <c r="T9" i="72"/>
  <c r="S9" i="72"/>
  <c r="H9" i="72"/>
  <c r="I9" i="72" s="1"/>
  <c r="T8" i="72"/>
  <c r="T13" i="72" s="1"/>
  <c r="S8" i="72"/>
  <c r="H8" i="72"/>
  <c r="I8" i="72" s="1"/>
  <c r="I13" i="72" s="1"/>
  <c r="H39" i="71"/>
  <c r="D39" i="71"/>
  <c r="H38" i="71"/>
  <c r="D38" i="71"/>
  <c r="I38" i="71" s="1"/>
  <c r="I37" i="71"/>
  <c r="I40" i="71" s="1"/>
  <c r="H37" i="71"/>
  <c r="D37" i="71"/>
  <c r="I34" i="71"/>
  <c r="I42" i="71" s="1"/>
  <c r="H33" i="71"/>
  <c r="D33" i="71"/>
  <c r="I33" i="71" s="1"/>
  <c r="I32" i="71"/>
  <c r="H32" i="71"/>
  <c r="D32" i="71"/>
  <c r="H31" i="71"/>
  <c r="D31" i="71"/>
  <c r="I31" i="71" s="1"/>
  <c r="H30" i="71"/>
  <c r="D30" i="71"/>
  <c r="I30" i="71" s="1"/>
  <c r="S19" i="71"/>
  <c r="O19" i="71"/>
  <c r="T19" i="71" s="1"/>
  <c r="I19" i="71"/>
  <c r="H19" i="71"/>
  <c r="D19" i="71"/>
  <c r="S18" i="71"/>
  <c r="O18" i="71"/>
  <c r="H18" i="71"/>
  <c r="D18" i="71"/>
  <c r="I18" i="71" s="1"/>
  <c r="T17" i="71"/>
  <c r="S17" i="71"/>
  <c r="O17" i="71"/>
  <c r="I17" i="71"/>
  <c r="H17" i="71"/>
  <c r="D17" i="71"/>
  <c r="S16" i="71"/>
  <c r="O16" i="71"/>
  <c r="T16" i="71" s="1"/>
  <c r="H16" i="71"/>
  <c r="D16" i="71"/>
  <c r="I16" i="71" s="1"/>
  <c r="I20" i="71" s="1"/>
  <c r="S12" i="71"/>
  <c r="T12" i="71" s="1"/>
  <c r="I12" i="71"/>
  <c r="H12" i="71"/>
  <c r="S11" i="71"/>
  <c r="T11" i="71" s="1"/>
  <c r="I11" i="71"/>
  <c r="H11" i="71"/>
  <c r="S10" i="71"/>
  <c r="T10" i="71" s="1"/>
  <c r="I10" i="71"/>
  <c r="H10" i="71"/>
  <c r="S9" i="71"/>
  <c r="T9" i="71" s="1"/>
  <c r="I9" i="71"/>
  <c r="H9" i="71"/>
  <c r="S8" i="71"/>
  <c r="T8" i="71" s="1"/>
  <c r="I8" i="71"/>
  <c r="I13" i="71" s="1"/>
  <c r="H8" i="71"/>
  <c r="S19" i="70"/>
  <c r="O19" i="70"/>
  <c r="T19" i="70" s="1"/>
  <c r="H19" i="70"/>
  <c r="D19" i="70"/>
  <c r="I19" i="70" s="1"/>
  <c r="T18" i="70"/>
  <c r="S18" i="70"/>
  <c r="O18" i="70"/>
  <c r="I18" i="70"/>
  <c r="H18" i="70"/>
  <c r="D18" i="70"/>
  <c r="S17" i="70"/>
  <c r="O17" i="70"/>
  <c r="H17" i="70"/>
  <c r="T16" i="70"/>
  <c r="S16" i="70"/>
  <c r="O16" i="70"/>
  <c r="H16" i="70"/>
  <c r="T15" i="70"/>
  <c r="I15" i="70"/>
  <c r="S12" i="70"/>
  <c r="T12" i="70" s="1"/>
  <c r="H12" i="70"/>
  <c r="D12" i="70"/>
  <c r="I12" i="70" s="1"/>
  <c r="T11" i="70"/>
  <c r="S11" i="70"/>
  <c r="H11" i="70"/>
  <c r="I11" i="70" s="1"/>
  <c r="T10" i="70"/>
  <c r="S10" i="70"/>
  <c r="H10" i="70"/>
  <c r="D10" i="70"/>
  <c r="I10" i="70" s="1"/>
  <c r="T9" i="70"/>
  <c r="S9" i="70"/>
  <c r="H9" i="70"/>
  <c r="I9" i="70" s="1"/>
  <c r="D9" i="70"/>
  <c r="S8" i="70"/>
  <c r="T8" i="70" s="1"/>
  <c r="I8" i="70"/>
  <c r="H8" i="70"/>
  <c r="D8" i="70"/>
  <c r="D16" i="70" s="1"/>
  <c r="I16" i="70" s="1"/>
  <c r="S19" i="69"/>
  <c r="T19" i="69" s="1"/>
  <c r="O19" i="69"/>
  <c r="H19" i="69"/>
  <c r="D19" i="69"/>
  <c r="I19" i="69" s="1"/>
  <c r="S18" i="69"/>
  <c r="O18" i="69"/>
  <c r="T18" i="69" s="1"/>
  <c r="I18" i="69"/>
  <c r="H18" i="69"/>
  <c r="D18" i="69"/>
  <c r="S17" i="69"/>
  <c r="O17" i="69"/>
  <c r="T17" i="69" s="1"/>
  <c r="H17" i="69"/>
  <c r="D17" i="69"/>
  <c r="I17" i="69" s="1"/>
  <c r="S16" i="69"/>
  <c r="O16" i="69"/>
  <c r="T16" i="69" s="1"/>
  <c r="T20" i="69" s="1"/>
  <c r="I16" i="69"/>
  <c r="H16" i="69"/>
  <c r="D16" i="69"/>
  <c r="T12" i="69"/>
  <c r="S12" i="69"/>
  <c r="H12" i="69"/>
  <c r="I12" i="69" s="1"/>
  <c r="T11" i="69"/>
  <c r="S11" i="69"/>
  <c r="H11" i="69"/>
  <c r="I11" i="69" s="1"/>
  <c r="T10" i="69"/>
  <c r="S10" i="69"/>
  <c r="H10" i="69"/>
  <c r="I10" i="69" s="1"/>
  <c r="T9" i="69"/>
  <c r="S9" i="69"/>
  <c r="H9" i="69"/>
  <c r="I9" i="69" s="1"/>
  <c r="I13" i="69" s="1"/>
  <c r="T8" i="69"/>
  <c r="T13" i="69" s="1"/>
  <c r="S8" i="69"/>
  <c r="H8" i="69"/>
  <c r="I8" i="69" s="1"/>
  <c r="I20" i="68"/>
  <c r="S19" i="68"/>
  <c r="O19" i="68"/>
  <c r="T19" i="68" s="1"/>
  <c r="I19" i="68"/>
  <c r="H19" i="68"/>
  <c r="D19" i="68"/>
  <c r="S18" i="68"/>
  <c r="O18" i="68"/>
  <c r="T18" i="68" s="1"/>
  <c r="H18" i="68"/>
  <c r="D18" i="68"/>
  <c r="I18" i="68" s="1"/>
  <c r="T17" i="68"/>
  <c r="S17" i="68"/>
  <c r="O17" i="68"/>
  <c r="I17" i="68"/>
  <c r="H17" i="68"/>
  <c r="D17" i="68"/>
  <c r="S16" i="68"/>
  <c r="O16" i="68"/>
  <c r="H16" i="68"/>
  <c r="D16" i="68"/>
  <c r="I16" i="68" s="1"/>
  <c r="S12" i="68"/>
  <c r="T12" i="68" s="1"/>
  <c r="I12" i="68"/>
  <c r="H12" i="68"/>
  <c r="S11" i="68"/>
  <c r="T11" i="68" s="1"/>
  <c r="H11" i="68"/>
  <c r="I11" i="68" s="1"/>
  <c r="S10" i="68"/>
  <c r="T10" i="68" s="1"/>
  <c r="H10" i="68"/>
  <c r="I10" i="68" s="1"/>
  <c r="S9" i="68"/>
  <c r="T9" i="68" s="1"/>
  <c r="H9" i="68"/>
  <c r="I9" i="68" s="1"/>
  <c r="S8" i="68"/>
  <c r="T8" i="68" s="1"/>
  <c r="H8" i="68"/>
  <c r="I8" i="68" s="1"/>
  <c r="T15" i="78" l="1"/>
  <c r="I24" i="48" s="1"/>
  <c r="J24" i="48" s="1"/>
  <c r="T15" i="76"/>
  <c r="T15" i="75"/>
  <c r="I21" i="48" s="1"/>
  <c r="I15" i="75"/>
  <c r="H21" i="48" s="1"/>
  <c r="I22" i="72"/>
  <c r="T20" i="70"/>
  <c r="T24" i="74"/>
  <c r="D17" i="70"/>
  <c r="I17" i="70" s="1"/>
  <c r="I20" i="70" s="1"/>
  <c r="I13" i="68"/>
  <c r="I22" i="68" s="1"/>
  <c r="I13" i="70"/>
  <c r="T13" i="71"/>
  <c r="I39" i="71"/>
  <c r="T22" i="72"/>
  <c r="I20" i="72"/>
  <c r="T19" i="72"/>
  <c r="T13" i="73"/>
  <c r="T22" i="73" s="1"/>
  <c r="I20" i="73"/>
  <c r="I22" i="73" s="1"/>
  <c r="I15" i="74"/>
  <c r="I24" i="74" s="1"/>
  <c r="T15" i="80"/>
  <c r="I22" i="80"/>
  <c r="I24" i="80" s="1"/>
  <c r="I22" i="71"/>
  <c r="T20" i="72"/>
  <c r="T15" i="77"/>
  <c r="T13" i="68"/>
  <c r="T16" i="68"/>
  <c r="T20" i="68" s="1"/>
  <c r="T22" i="69"/>
  <c r="I20" i="69"/>
  <c r="I22" i="69" s="1"/>
  <c r="T13" i="70"/>
  <c r="T17" i="70"/>
  <c r="T18" i="71"/>
  <c r="T20" i="71" s="1"/>
  <c r="I42" i="72"/>
  <c r="I37" i="72"/>
  <c r="I40" i="72" s="1"/>
  <c r="T20" i="73"/>
  <c r="I19" i="73"/>
  <c r="AC15" i="76"/>
  <c r="I15" i="77"/>
  <c r="I15" i="78"/>
  <c r="I22" i="79"/>
  <c r="I24" i="79" s="1"/>
  <c r="T22" i="80"/>
  <c r="S12" i="64"/>
  <c r="T12" i="64" s="1"/>
  <c r="T13" i="64" s="1"/>
  <c r="H12" i="64"/>
  <c r="I12" i="64" s="1"/>
  <c r="I13" i="64" s="1"/>
  <c r="S8" i="64"/>
  <c r="T8" i="64" s="1"/>
  <c r="T9" i="64" s="1"/>
  <c r="H8" i="64"/>
  <c r="I8" i="64" s="1"/>
  <c r="I9" i="64" s="1"/>
  <c r="S12" i="63"/>
  <c r="T12" i="63" s="1"/>
  <c r="T13" i="63" s="1"/>
  <c r="H12" i="63"/>
  <c r="I12" i="63" s="1"/>
  <c r="I13" i="63" s="1"/>
  <c r="S8" i="63"/>
  <c r="T8" i="63" s="1"/>
  <c r="T9" i="63" s="1"/>
  <c r="H8" i="63"/>
  <c r="I8" i="63" s="1"/>
  <c r="I9" i="63" s="1"/>
  <c r="T12" i="62"/>
  <c r="T13" i="62" s="1"/>
  <c r="S12" i="62"/>
  <c r="H12" i="62"/>
  <c r="I12" i="62" s="1"/>
  <c r="I13" i="62" s="1"/>
  <c r="S8" i="62"/>
  <c r="T8" i="62" s="1"/>
  <c r="T9" i="62" s="1"/>
  <c r="I8" i="62"/>
  <c r="I9" i="62" s="1"/>
  <c r="H8" i="62"/>
  <c r="T12" i="61"/>
  <c r="T13" i="61" s="1"/>
  <c r="S12" i="61"/>
  <c r="H12" i="61"/>
  <c r="I12" i="61" s="1"/>
  <c r="I13" i="61" s="1"/>
  <c r="S8" i="61"/>
  <c r="T8" i="61" s="1"/>
  <c r="T9" i="61" s="1"/>
  <c r="I8" i="61"/>
  <c r="I9" i="61" s="1"/>
  <c r="H8" i="61"/>
  <c r="D20" i="59"/>
  <c r="S21" i="59"/>
  <c r="O21" i="59"/>
  <c r="T21" i="59" s="1"/>
  <c r="H21" i="59"/>
  <c r="D21" i="59"/>
  <c r="I21" i="59" s="1"/>
  <c r="S20" i="59"/>
  <c r="O20" i="59"/>
  <c r="H20" i="59"/>
  <c r="S19" i="59"/>
  <c r="O19" i="59"/>
  <c r="H19" i="59"/>
  <c r="D19" i="59"/>
  <c r="S18" i="59"/>
  <c r="O18" i="59"/>
  <c r="H18" i="59"/>
  <c r="D18" i="59"/>
  <c r="S14" i="59"/>
  <c r="T14" i="59" s="1"/>
  <c r="H14" i="59"/>
  <c r="I14" i="59" s="1"/>
  <c r="S13" i="59"/>
  <c r="T13" i="59" s="1"/>
  <c r="I13" i="59"/>
  <c r="H13" i="59"/>
  <c r="S12" i="59"/>
  <c r="T12" i="59" s="1"/>
  <c r="H12" i="59"/>
  <c r="I12" i="59" s="1"/>
  <c r="S11" i="59"/>
  <c r="T11" i="59" s="1"/>
  <c r="I11" i="59"/>
  <c r="H11" i="59"/>
  <c r="S10" i="59"/>
  <c r="T10" i="59" s="1"/>
  <c r="H10" i="59"/>
  <c r="I10" i="59" s="1"/>
  <c r="S9" i="59"/>
  <c r="T9" i="59" s="1"/>
  <c r="I9" i="59"/>
  <c r="H9" i="59"/>
  <c r="S8" i="59"/>
  <c r="T8" i="59" s="1"/>
  <c r="H8" i="59"/>
  <c r="I8" i="59" s="1"/>
  <c r="J22" i="48" l="1"/>
  <c r="I23" i="48"/>
  <c r="J23" i="48" s="1"/>
  <c r="J21" i="48"/>
  <c r="T24" i="80"/>
  <c r="T22" i="71"/>
  <c r="T22" i="70"/>
  <c r="T22" i="68"/>
  <c r="I22" i="70"/>
  <c r="I18" i="59"/>
  <c r="T18" i="59"/>
  <c r="T19" i="59"/>
  <c r="I15" i="64"/>
  <c r="K11" i="48" s="1"/>
  <c r="T20" i="59"/>
  <c r="I15" i="59"/>
  <c r="T15" i="63"/>
  <c r="L12" i="48" s="1"/>
  <c r="I15" i="63"/>
  <c r="K12" i="48" s="1"/>
  <c r="I15" i="61"/>
  <c r="K14" i="48" s="1"/>
  <c r="I15" i="62"/>
  <c r="K13" i="48" s="1"/>
  <c r="T15" i="64"/>
  <c r="L11" i="48" s="1"/>
  <c r="T15" i="62"/>
  <c r="L13" i="48" s="1"/>
  <c r="T15" i="61"/>
  <c r="L14" i="48" s="1"/>
  <c r="I20" i="59"/>
  <c r="T15" i="59"/>
  <c r="I19" i="59"/>
  <c r="I22" i="59"/>
  <c r="T22" i="59" l="1"/>
  <c r="T24" i="59" s="1"/>
  <c r="L20" i="48" s="1"/>
  <c r="I24" i="59"/>
  <c r="K20" i="48" s="1"/>
  <c r="M14" i="48" l="1"/>
  <c r="M12" i="48"/>
  <c r="M11" i="48" l="1"/>
  <c r="M20" i="48"/>
  <c r="M13" i="48"/>
  <c r="M19" i="48"/>
  <c r="S12" i="42" l="1"/>
  <c r="T12" i="42" s="1"/>
  <c r="T13" i="42" s="1"/>
  <c r="S8" i="42"/>
  <c r="T8" i="42" s="1"/>
  <c r="T9" i="42" s="1"/>
  <c r="S8" i="40"/>
  <c r="T8" i="40" s="1"/>
  <c r="T9" i="40" s="1"/>
  <c r="S12" i="40"/>
  <c r="T12" i="40"/>
  <c r="T13" i="40" s="1"/>
  <c r="S8" i="44"/>
  <c r="T8" i="44"/>
  <c r="T9" i="44" s="1"/>
  <c r="S12" i="44"/>
  <c r="T12" i="44" s="1"/>
  <c r="T13" i="44" s="1"/>
  <c r="S8" i="46"/>
  <c r="T8" i="46" s="1"/>
  <c r="T9" i="46" s="1"/>
  <c r="S12" i="46"/>
  <c r="T12" i="46" s="1"/>
  <c r="T13" i="46" s="1"/>
  <c r="S8" i="56"/>
  <c r="T8" i="56" s="1"/>
  <c r="T9" i="56" s="1"/>
  <c r="S12" i="56"/>
  <c r="T12" i="56" s="1"/>
  <c r="T13" i="56" s="1"/>
  <c r="S8" i="54"/>
  <c r="T8" i="54" s="1"/>
  <c r="T9" i="54" s="1"/>
  <c r="S12" i="54"/>
  <c r="T12" i="54" s="1"/>
  <c r="T13" i="54" s="1"/>
  <c r="S8" i="51"/>
  <c r="T8" i="51" s="1"/>
  <c r="T9" i="51" s="1"/>
  <c r="S12" i="51"/>
  <c r="T12" i="51" s="1"/>
  <c r="T13" i="51" s="1"/>
  <c r="S8" i="49"/>
  <c r="T8" i="49"/>
  <c r="T9" i="49" s="1"/>
  <c r="S12" i="49"/>
  <c r="T12" i="49" s="1"/>
  <c r="T13" i="49" s="1"/>
  <c r="H12" i="56"/>
  <c r="I12" i="56" s="1"/>
  <c r="I13" i="56" s="1"/>
  <c r="H8" i="56"/>
  <c r="I8" i="56" s="1"/>
  <c r="I9" i="56" s="1"/>
  <c r="H12" i="54"/>
  <c r="I12" i="54" s="1"/>
  <c r="I13" i="54" s="1"/>
  <c r="H8" i="54"/>
  <c r="I8" i="54" s="1"/>
  <c r="I9" i="54" s="1"/>
  <c r="H12" i="51"/>
  <c r="I12" i="51" s="1"/>
  <c r="I13" i="51" s="1"/>
  <c r="H8" i="51"/>
  <c r="I8" i="51" s="1"/>
  <c r="I9" i="51" s="1"/>
  <c r="H12" i="49"/>
  <c r="I12" i="49" s="1"/>
  <c r="I13" i="49" s="1"/>
  <c r="H8" i="49"/>
  <c r="I8" i="49" s="1"/>
  <c r="I9" i="49" s="1"/>
  <c r="H12" i="46"/>
  <c r="I12" i="46" s="1"/>
  <c r="I13" i="46" s="1"/>
  <c r="H8" i="46"/>
  <c r="I8" i="46" s="1"/>
  <c r="I9" i="46" s="1"/>
  <c r="H12" i="44"/>
  <c r="I12" i="44" s="1"/>
  <c r="I13" i="44" s="1"/>
  <c r="I8" i="44"/>
  <c r="I9" i="44" s="1"/>
  <c r="H8" i="44"/>
  <c r="H12" i="42"/>
  <c r="I12" i="42" s="1"/>
  <c r="I13" i="42" s="1"/>
  <c r="H8" i="42"/>
  <c r="I8" i="42" s="1"/>
  <c r="I9" i="42" s="1"/>
  <c r="H12" i="40"/>
  <c r="I12" i="40" s="1"/>
  <c r="H8" i="40"/>
  <c r="I8" i="40" s="1"/>
  <c r="T15" i="51" l="1"/>
  <c r="I16" i="48" s="1"/>
  <c r="L16" i="48" s="1"/>
  <c r="I15" i="56"/>
  <c r="H18" i="48" s="1"/>
  <c r="K18" i="48" s="1"/>
  <c r="I15" i="51"/>
  <c r="H16" i="48" s="1"/>
  <c r="T15" i="54"/>
  <c r="I17" i="48" s="1"/>
  <c r="L17" i="48" s="1"/>
  <c r="T15" i="42"/>
  <c r="I14" i="48" s="1"/>
  <c r="T15" i="44"/>
  <c r="I12" i="48" s="1"/>
  <c r="T15" i="46"/>
  <c r="I11" i="48" s="1"/>
  <c r="J20" i="48"/>
  <c r="T15" i="56"/>
  <c r="I18" i="48" s="1"/>
  <c r="L18" i="48" s="1"/>
  <c r="T15" i="49"/>
  <c r="I15" i="48" s="1"/>
  <c r="L15" i="48" s="1"/>
  <c r="T15" i="40"/>
  <c r="I13" i="48" s="1"/>
  <c r="I15" i="46"/>
  <c r="H11" i="48" s="1"/>
  <c r="I15" i="54"/>
  <c r="H17" i="48" s="1"/>
  <c r="I15" i="49"/>
  <c r="H15" i="48" s="1"/>
  <c r="K15" i="48" s="1"/>
  <c r="I15" i="44"/>
  <c r="H12" i="48" s="1"/>
  <c r="I15" i="42"/>
  <c r="H14" i="48" s="1"/>
  <c r="I13" i="40"/>
  <c r="I9" i="40"/>
  <c r="M15" i="48" l="1"/>
  <c r="M18" i="48"/>
  <c r="M16" i="48"/>
  <c r="J16" i="48"/>
  <c r="K16" i="48"/>
  <c r="J17" i="48"/>
  <c r="K17" i="48"/>
  <c r="M17" i="48" s="1"/>
  <c r="J18" i="48"/>
  <c r="J15" i="48"/>
  <c r="J11" i="48"/>
  <c r="J12" i="48"/>
  <c r="J14" i="48"/>
  <c r="I15" i="40"/>
  <c r="H13" i="48" s="1"/>
  <c r="J13" i="48" s="1"/>
  <c r="J19" i="4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78E9F00B-4B1A-468E-99B8-D6A7C5C26B3C}">
      <text>
        <r>
          <rPr>
            <sz val="9"/>
            <color indexed="81"/>
            <rFont val="Tahoma"/>
            <family val="2"/>
          </rPr>
          <t>Weighted average cost</t>
        </r>
      </text>
    </comment>
    <comment ref="O7" authorId="0" shapeId="0" xr:uid="{1F6993A9-715F-4CC6-A16F-93D8F0BABC75}">
      <text>
        <r>
          <rPr>
            <sz val="9"/>
            <color indexed="81"/>
            <rFont val="Tahoma"/>
            <family val="2"/>
          </rPr>
          <t>Weighted average cost</t>
        </r>
      </text>
    </comment>
    <comment ref="D11" authorId="0" shapeId="0" xr:uid="{A3F464A4-6592-494B-A6D6-C13B6A605944}">
      <text>
        <r>
          <rPr>
            <sz val="9"/>
            <color indexed="81"/>
            <rFont val="Tahoma"/>
            <family val="2"/>
          </rPr>
          <t>Weighted average cost</t>
        </r>
      </text>
    </comment>
    <comment ref="O11" authorId="0" shapeId="0" xr:uid="{66A4CBE9-BEEC-457E-9063-49F45002BD12}">
      <text>
        <r>
          <rPr>
            <sz val="9"/>
            <color indexed="81"/>
            <rFont val="Tahoma"/>
            <family val="2"/>
          </rPr>
          <t>Weighted average cost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86259E7E-7BE7-4C8D-9C96-D63922566DD1}">
      <text>
        <r>
          <rPr>
            <sz val="9"/>
            <color indexed="81"/>
            <rFont val="Tahoma"/>
            <family val="2"/>
          </rPr>
          <t>Weighted average cost</t>
        </r>
      </text>
    </comment>
    <comment ref="O7" authorId="0" shapeId="0" xr:uid="{23DF2B9C-54C2-446D-A1B5-7F1E0A2F2CF4}">
      <text>
        <r>
          <rPr>
            <sz val="9"/>
            <color indexed="81"/>
            <rFont val="Tahoma"/>
            <family val="2"/>
          </rPr>
          <t>Weighted average cost</t>
        </r>
      </text>
    </comment>
    <comment ref="D11" authorId="0" shapeId="0" xr:uid="{11EE2A8F-A128-4576-B26B-6B3D502A136B}">
      <text>
        <r>
          <rPr>
            <sz val="9"/>
            <color indexed="81"/>
            <rFont val="Tahoma"/>
            <family val="2"/>
          </rPr>
          <t>Weighted average cost</t>
        </r>
      </text>
    </comment>
    <comment ref="O11" authorId="0" shapeId="0" xr:uid="{CA60620F-DF09-4F59-897F-E678561156E0}">
      <text>
        <r>
          <rPr>
            <sz val="9"/>
            <color indexed="81"/>
            <rFont val="Tahoma"/>
            <family val="2"/>
          </rPr>
          <t>Weighted average cost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D42A6571-6005-4187-A6BC-924C81B109A4}">
      <text>
        <r>
          <rPr>
            <sz val="9"/>
            <color indexed="81"/>
            <rFont val="Tahoma"/>
            <family val="2"/>
          </rPr>
          <t>Weighted average cost</t>
        </r>
      </text>
    </comment>
    <comment ref="O7" authorId="0" shapeId="0" xr:uid="{5D6C4F48-2A6E-4B03-8732-F2943A2AD677}">
      <text>
        <r>
          <rPr>
            <sz val="9"/>
            <color indexed="81"/>
            <rFont val="Tahoma"/>
            <family val="2"/>
          </rPr>
          <t>Weighted average cost</t>
        </r>
      </text>
    </comment>
    <comment ref="D11" authorId="0" shapeId="0" xr:uid="{0846F8A5-E9FC-4818-819D-BC4C4D9C3383}">
      <text>
        <r>
          <rPr>
            <sz val="9"/>
            <color indexed="81"/>
            <rFont val="Tahoma"/>
            <family val="2"/>
          </rPr>
          <t>Weighted average cost</t>
        </r>
      </text>
    </comment>
    <comment ref="O11" authorId="0" shapeId="0" xr:uid="{CD51AC5C-D625-43DA-99FD-F37FC08F45F1}">
      <text>
        <r>
          <rPr>
            <sz val="9"/>
            <color indexed="81"/>
            <rFont val="Tahoma"/>
            <family val="2"/>
          </rPr>
          <t>Weighted average cost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EBB2930E-B528-443C-9349-7272097B288F}">
      <text>
        <r>
          <rPr>
            <sz val="9"/>
            <color indexed="81"/>
            <rFont val="Tahoma"/>
            <family val="2"/>
          </rPr>
          <t>Weighted average cost</t>
        </r>
      </text>
    </comment>
    <comment ref="O7" authorId="0" shapeId="0" xr:uid="{028CAAA2-6643-4C29-AF6A-B5AAF4CD3C84}">
      <text>
        <r>
          <rPr>
            <sz val="9"/>
            <color indexed="81"/>
            <rFont val="Tahoma"/>
            <family val="2"/>
          </rPr>
          <t>Weighted average cost</t>
        </r>
      </text>
    </comment>
    <comment ref="D11" authorId="0" shapeId="0" xr:uid="{B95CC720-5C07-45B2-9A14-C4B207A917E6}">
      <text>
        <r>
          <rPr>
            <sz val="9"/>
            <color indexed="81"/>
            <rFont val="Tahoma"/>
            <family val="2"/>
          </rPr>
          <t>Weighted average cost</t>
        </r>
      </text>
    </comment>
    <comment ref="O11" authorId="0" shapeId="0" xr:uid="{6CACD284-A8D2-4A43-BCC3-DDAE70AF9AE0}">
      <text>
        <r>
          <rPr>
            <sz val="9"/>
            <color indexed="81"/>
            <rFont val="Tahoma"/>
            <family val="2"/>
          </rPr>
          <t>Weighted average cost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F8144C1B-9D3B-4229-9F0C-ACC1E296A1C0}">
      <text>
        <r>
          <rPr>
            <sz val="9"/>
            <color indexed="81"/>
            <rFont val="Tahoma"/>
            <family val="2"/>
          </rPr>
          <t>Weighted average cost</t>
        </r>
      </text>
    </comment>
    <comment ref="O7" authorId="0" shapeId="0" xr:uid="{EF8D8BC5-4030-4553-879A-66014B1A2594}">
      <text>
        <r>
          <rPr>
            <sz val="9"/>
            <color indexed="81"/>
            <rFont val="Tahoma"/>
            <family val="2"/>
          </rPr>
          <t>Weighted average cost</t>
        </r>
      </text>
    </comment>
    <comment ref="D11" authorId="0" shapeId="0" xr:uid="{FFB2799B-F34E-4663-8E62-C40A16F624B8}">
      <text>
        <r>
          <rPr>
            <sz val="9"/>
            <color indexed="81"/>
            <rFont val="Tahoma"/>
            <family val="2"/>
          </rPr>
          <t>Weighted average cost</t>
        </r>
      </text>
    </comment>
    <comment ref="O11" authorId="0" shapeId="0" xr:uid="{3155342A-6C11-4198-B110-B64C12566C01}">
      <text>
        <r>
          <rPr>
            <sz val="9"/>
            <color indexed="81"/>
            <rFont val="Tahoma"/>
            <family val="2"/>
          </rPr>
          <t>Weighted average cost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43B0B248-6022-40AA-AEF9-34FC34CB7AB8}">
      <text>
        <r>
          <rPr>
            <sz val="9"/>
            <color indexed="81"/>
            <rFont val="Tahoma"/>
            <family val="2"/>
          </rPr>
          <t>Weighted average cost</t>
        </r>
      </text>
    </comment>
    <comment ref="O7" authorId="0" shapeId="0" xr:uid="{505971B2-3E01-4369-9965-CD259D6734BA}">
      <text>
        <r>
          <rPr>
            <sz val="9"/>
            <color indexed="81"/>
            <rFont val="Tahoma"/>
            <family val="2"/>
          </rPr>
          <t>Weighted average cost</t>
        </r>
      </text>
    </comment>
    <comment ref="D11" authorId="0" shapeId="0" xr:uid="{6877376C-411B-4800-B6D7-9BBC736D7A6A}">
      <text>
        <r>
          <rPr>
            <sz val="9"/>
            <color indexed="81"/>
            <rFont val="Tahoma"/>
            <family val="2"/>
          </rPr>
          <t>Weighted average cost</t>
        </r>
      </text>
    </comment>
    <comment ref="O11" authorId="0" shapeId="0" xr:uid="{FBADB6AC-B38D-4C0A-9704-A67C533EE472}">
      <text>
        <r>
          <rPr>
            <sz val="9"/>
            <color indexed="81"/>
            <rFont val="Tahoma"/>
            <family val="2"/>
          </rPr>
          <t>Weighted average cost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E8438B83-50E3-459A-80DD-186199464747}">
      <text>
        <r>
          <rPr>
            <sz val="9"/>
            <color indexed="81"/>
            <rFont val="Tahoma"/>
            <family val="2"/>
          </rPr>
          <t>Weighted average cost</t>
        </r>
      </text>
    </comment>
    <comment ref="O7" authorId="0" shapeId="0" xr:uid="{E684DC76-589F-44FD-AF89-59168A190ADC}">
      <text>
        <r>
          <rPr>
            <sz val="9"/>
            <color indexed="81"/>
            <rFont val="Tahoma"/>
            <family val="2"/>
          </rPr>
          <t>Weighted average cost</t>
        </r>
      </text>
    </comment>
    <comment ref="D11" authorId="0" shapeId="0" xr:uid="{3F381BDA-491B-448B-BD5F-EFC2E204A79D}">
      <text>
        <r>
          <rPr>
            <sz val="9"/>
            <color indexed="81"/>
            <rFont val="Tahoma"/>
            <family val="2"/>
          </rPr>
          <t>Weighted average cost</t>
        </r>
      </text>
    </comment>
    <comment ref="O11" authorId="0" shapeId="0" xr:uid="{EC68DE16-707A-42E0-826D-24761F6C60BC}">
      <text>
        <r>
          <rPr>
            <sz val="9"/>
            <color indexed="81"/>
            <rFont val="Tahoma"/>
            <family val="2"/>
          </rPr>
          <t>Weighted average cost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A5D42E8D-BEF4-4964-9516-A736A01D1CE5}">
      <text>
        <r>
          <rPr>
            <sz val="9"/>
            <color indexed="81"/>
            <rFont val="Tahoma"/>
            <family val="2"/>
          </rPr>
          <t>Weighted average cost</t>
        </r>
      </text>
    </comment>
    <comment ref="O7" authorId="0" shapeId="0" xr:uid="{CB2774BB-92E8-4AAD-8D83-C67BAFAA694D}">
      <text>
        <r>
          <rPr>
            <sz val="9"/>
            <color indexed="81"/>
            <rFont val="Tahoma"/>
            <family val="2"/>
          </rPr>
          <t>Weighted average cost</t>
        </r>
      </text>
    </comment>
    <comment ref="D11" authorId="0" shapeId="0" xr:uid="{DE1BBE35-2F47-4884-ABDE-63D11AC09144}">
      <text>
        <r>
          <rPr>
            <sz val="9"/>
            <color indexed="81"/>
            <rFont val="Tahoma"/>
            <family val="2"/>
          </rPr>
          <t>Weighted average cost</t>
        </r>
      </text>
    </comment>
    <comment ref="O11" authorId="0" shapeId="0" xr:uid="{79448712-4799-45D1-8E26-6B376967492D}">
      <text>
        <r>
          <rPr>
            <sz val="9"/>
            <color indexed="81"/>
            <rFont val="Tahoma"/>
            <family val="2"/>
          </rPr>
          <t>Weighted average cost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BED0AE73-F25E-4A6A-8E05-8F7945EEF2DD}">
      <text>
        <r>
          <rPr>
            <sz val="9"/>
            <color indexed="81"/>
            <rFont val="Tahoma"/>
            <family val="2"/>
          </rPr>
          <t>Weighted average cost</t>
        </r>
      </text>
    </comment>
    <comment ref="O7" authorId="0" shapeId="0" xr:uid="{32457BD1-3414-4ECC-8FA7-5C16E0E4FFEE}">
      <text>
        <r>
          <rPr>
            <sz val="9"/>
            <color indexed="81"/>
            <rFont val="Tahoma"/>
            <family val="2"/>
          </rPr>
          <t>Weighted average cost</t>
        </r>
      </text>
    </comment>
    <comment ref="D11" authorId="0" shapeId="0" xr:uid="{3E2522CB-94B1-49E1-A626-AF77C34AC2D7}">
      <text>
        <r>
          <rPr>
            <sz val="9"/>
            <color indexed="81"/>
            <rFont val="Tahoma"/>
            <family val="2"/>
          </rPr>
          <t>Weighted average cost</t>
        </r>
      </text>
    </comment>
    <comment ref="O11" authorId="0" shapeId="0" xr:uid="{7C3117AA-4D21-4BB0-9334-D6EB86B874DB}">
      <text>
        <r>
          <rPr>
            <sz val="9"/>
            <color indexed="81"/>
            <rFont val="Tahoma"/>
            <family val="2"/>
          </rPr>
          <t>Weighted average cost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0C9D3182-2DBC-4EB3-B09B-C5B4B114182B}">
      <text>
        <r>
          <rPr>
            <sz val="9"/>
            <color indexed="81"/>
            <rFont val="Tahoma"/>
            <family val="2"/>
          </rPr>
          <t>Weighted average cost</t>
        </r>
      </text>
    </comment>
    <comment ref="O7" authorId="0" shapeId="0" xr:uid="{84EC94C6-BA6D-46AD-A481-B666C124418D}">
      <text>
        <r>
          <rPr>
            <sz val="9"/>
            <color indexed="81"/>
            <rFont val="Tahoma"/>
            <family val="2"/>
          </rPr>
          <t>Weighted average cost</t>
        </r>
      </text>
    </comment>
    <comment ref="D11" authorId="0" shapeId="0" xr:uid="{EC4BC779-90DA-4CFB-8748-C8D4FFA541A7}">
      <text>
        <r>
          <rPr>
            <sz val="9"/>
            <color indexed="81"/>
            <rFont val="Tahoma"/>
            <family val="2"/>
          </rPr>
          <t>Weighted average cost</t>
        </r>
      </text>
    </comment>
    <comment ref="O11" authorId="0" shapeId="0" xr:uid="{DCAF7B2C-05A0-4888-98F0-BDE43F2DBABC}">
      <text>
        <r>
          <rPr>
            <sz val="9"/>
            <color indexed="81"/>
            <rFont val="Tahoma"/>
            <family val="2"/>
          </rPr>
          <t>Weighted average cost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9EEE3441-9FDD-4666-A1BF-D6A4DA83AF55}">
      <text>
        <r>
          <rPr>
            <sz val="9"/>
            <color indexed="81"/>
            <rFont val="Tahoma"/>
            <family val="2"/>
          </rPr>
          <t>Weighted average cost</t>
        </r>
      </text>
    </comment>
    <comment ref="O7" authorId="0" shapeId="0" xr:uid="{1B047B12-1093-49C0-97F4-DDA43C32C6DD}">
      <text>
        <r>
          <rPr>
            <sz val="9"/>
            <color indexed="81"/>
            <rFont val="Tahoma"/>
            <family val="2"/>
          </rPr>
          <t>Weighted average cost</t>
        </r>
      </text>
    </comment>
    <comment ref="D11" authorId="0" shapeId="0" xr:uid="{3F043CF4-3833-4C00-B498-E7FF01D3C8FD}">
      <text>
        <r>
          <rPr>
            <sz val="9"/>
            <color indexed="81"/>
            <rFont val="Tahoma"/>
            <family val="2"/>
          </rPr>
          <t>Weighted average cost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6AD82969-5DC9-44E2-AD33-F28B50BAAEFE}">
      <text>
        <r>
          <rPr>
            <sz val="9"/>
            <color indexed="81"/>
            <rFont val="Tahoma"/>
            <family val="2"/>
          </rPr>
          <t>Weighted average cost</t>
        </r>
      </text>
    </comment>
    <comment ref="O7" authorId="0" shapeId="0" xr:uid="{40D29075-32C4-4799-9135-EF74E2F1405B}">
      <text>
        <r>
          <rPr>
            <sz val="9"/>
            <color indexed="81"/>
            <rFont val="Tahoma"/>
            <family val="2"/>
          </rPr>
          <t>Weighted average cost</t>
        </r>
      </text>
    </comment>
    <comment ref="D11" authorId="0" shapeId="0" xr:uid="{C68F2A87-6347-4234-8F42-96973AB1D522}">
      <text>
        <r>
          <rPr>
            <sz val="9"/>
            <color indexed="81"/>
            <rFont val="Tahoma"/>
            <family val="2"/>
          </rPr>
          <t>Weighted average cost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820A559F-B283-4DCD-B3A5-CA8A5E8C8D0B}">
      <text>
        <r>
          <rPr>
            <sz val="9"/>
            <color indexed="81"/>
            <rFont val="Tahoma"/>
            <family val="2"/>
          </rPr>
          <t>Weighted average cost</t>
        </r>
      </text>
    </comment>
    <comment ref="O7" authorId="0" shapeId="0" xr:uid="{87449503-1E55-4D3F-A29D-374379D15A1B}">
      <text>
        <r>
          <rPr>
            <sz val="9"/>
            <color indexed="81"/>
            <rFont val="Tahoma"/>
            <family val="2"/>
          </rPr>
          <t>Weighted average cost</t>
        </r>
      </text>
    </comment>
    <comment ref="D15" authorId="0" shapeId="0" xr:uid="{36476499-35BE-4A0B-BC93-9E2C28D87D87}">
      <text>
        <r>
          <rPr>
            <sz val="9"/>
            <color indexed="81"/>
            <rFont val="Tahoma"/>
            <family val="2"/>
          </rPr>
          <t>Weighted average cost</t>
        </r>
      </text>
    </comment>
    <comment ref="O15" authorId="0" shapeId="0" xr:uid="{8D8ADF10-D3D1-467A-BECD-A93443C57DC9}">
      <text>
        <r>
          <rPr>
            <sz val="9"/>
            <color indexed="81"/>
            <rFont val="Tahoma"/>
            <family val="2"/>
          </rPr>
          <t>Weighted average cost</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8026E5AF-7836-4BCE-A988-7379DE846318}">
      <text>
        <r>
          <rPr>
            <sz val="9"/>
            <color indexed="81"/>
            <rFont val="Tahoma"/>
            <family val="2"/>
          </rPr>
          <t>Weighted average cost</t>
        </r>
      </text>
    </comment>
    <comment ref="O7" authorId="0" shapeId="0" xr:uid="{E840F3C9-6A90-4123-B329-EF59E3BC80AB}">
      <text>
        <r>
          <rPr>
            <sz val="9"/>
            <color indexed="81"/>
            <rFont val="Tahoma"/>
            <family val="2"/>
          </rPr>
          <t>Weighted average cost</t>
        </r>
      </text>
    </comment>
    <comment ref="D15" authorId="0" shapeId="0" xr:uid="{EF0DAFEB-773E-4A69-B9A1-FFBE5002C6DC}">
      <text>
        <r>
          <rPr>
            <sz val="9"/>
            <color indexed="81"/>
            <rFont val="Tahoma"/>
            <family val="2"/>
          </rPr>
          <t>Weighted average cost</t>
        </r>
      </text>
    </comment>
    <comment ref="O15" authorId="0" shapeId="0" xr:uid="{3A8D5FB7-C9D0-49B5-96BF-9E42C3A7698E}">
      <text>
        <r>
          <rPr>
            <sz val="9"/>
            <color indexed="81"/>
            <rFont val="Tahoma"/>
            <family val="2"/>
          </rPr>
          <t>Weighted average cost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94F28437-4189-4CBB-ABB6-B04A6C94AC75}">
      <text>
        <r>
          <rPr>
            <sz val="9"/>
            <color indexed="81"/>
            <rFont val="Tahoma"/>
            <family val="2"/>
          </rPr>
          <t>Weighted average cost</t>
        </r>
      </text>
    </comment>
    <comment ref="O7" authorId="0" shapeId="0" xr:uid="{DB8720BB-3663-411D-B249-9B137CE47F12}">
      <text>
        <r>
          <rPr>
            <sz val="9"/>
            <color indexed="81"/>
            <rFont val="Tahoma"/>
            <family val="2"/>
          </rPr>
          <t>Weighted average cost</t>
        </r>
      </text>
    </comment>
    <comment ref="D15" authorId="0" shapeId="0" xr:uid="{709729AC-9934-4E7D-AE2A-653A94F41CF1}">
      <text>
        <r>
          <rPr>
            <sz val="9"/>
            <color indexed="81"/>
            <rFont val="Tahoma"/>
            <family val="2"/>
          </rPr>
          <t>Weighted average cost</t>
        </r>
      </text>
    </comment>
    <comment ref="O15" authorId="0" shapeId="0" xr:uid="{06EA23A9-2E78-4E64-92A1-A0AA1982E002}">
      <text>
        <r>
          <rPr>
            <sz val="9"/>
            <color indexed="81"/>
            <rFont val="Tahoma"/>
            <family val="2"/>
          </rPr>
          <t>Weighted average cost</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76AB358B-192F-4ED1-976D-EF6DA30C2D60}">
      <text>
        <r>
          <rPr>
            <sz val="9"/>
            <color indexed="81"/>
            <rFont val="Tahoma"/>
            <family val="2"/>
          </rPr>
          <t>Weighted average cost</t>
        </r>
      </text>
    </comment>
    <comment ref="O7" authorId="0" shapeId="0" xr:uid="{5A5DECE7-064B-41B8-AF63-81D8C20381EC}">
      <text>
        <r>
          <rPr>
            <sz val="9"/>
            <color indexed="81"/>
            <rFont val="Tahoma"/>
            <family val="2"/>
          </rPr>
          <t>Weighted average cost</t>
        </r>
      </text>
    </comment>
    <comment ref="D15" authorId="0" shapeId="0" xr:uid="{DFD4A773-FE7D-4F4B-A51A-7EB9532CF85F}">
      <text>
        <r>
          <rPr>
            <sz val="9"/>
            <color indexed="81"/>
            <rFont val="Tahoma"/>
            <family val="2"/>
          </rPr>
          <t>Weighted average cost</t>
        </r>
      </text>
    </comment>
    <comment ref="O15" authorId="0" shapeId="0" xr:uid="{EC9F8C6B-AB38-4501-BC5D-455083AFB36E}">
      <text>
        <r>
          <rPr>
            <sz val="9"/>
            <color indexed="81"/>
            <rFont val="Tahoma"/>
            <family val="2"/>
          </rPr>
          <t>Weighted average cost</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186F1B8C-3EDB-4C84-B7B4-886A9FDD6532}">
      <text>
        <r>
          <rPr>
            <sz val="9"/>
            <color indexed="81"/>
            <rFont val="Tahoma"/>
            <family val="2"/>
          </rPr>
          <t>Weighted average cost</t>
        </r>
      </text>
    </comment>
    <comment ref="O7" authorId="0" shapeId="0" xr:uid="{98036607-10CA-47D9-8DA7-E43DB9A11B02}">
      <text>
        <r>
          <rPr>
            <sz val="9"/>
            <color indexed="81"/>
            <rFont val="Tahoma"/>
            <family val="2"/>
          </rPr>
          <t>Weighted average cost</t>
        </r>
      </text>
    </comment>
    <comment ref="D15" authorId="0" shapeId="0" xr:uid="{ED9D94D5-A5AF-4CF7-A2C2-0F5DF63CDC21}">
      <text>
        <r>
          <rPr>
            <sz val="9"/>
            <color indexed="81"/>
            <rFont val="Tahoma"/>
            <family val="2"/>
          </rPr>
          <t>Weighted average cost</t>
        </r>
      </text>
    </comment>
    <comment ref="O15" authorId="0" shapeId="0" xr:uid="{639F81EF-EBD2-4DF1-987E-9D7A5A6449B7}">
      <text>
        <r>
          <rPr>
            <sz val="9"/>
            <color indexed="81"/>
            <rFont val="Tahoma"/>
            <family val="2"/>
          </rPr>
          <t>Weighted average cost</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91114B6D-F986-4B9C-953B-7ED9A8706875}">
      <text>
        <r>
          <rPr>
            <sz val="9"/>
            <color indexed="81"/>
            <rFont val="Tahoma"/>
            <family val="2"/>
          </rPr>
          <t>Weighted average cost</t>
        </r>
      </text>
    </comment>
    <comment ref="O7" authorId="0" shapeId="0" xr:uid="{A0D5BD6E-0388-4152-AE4A-564EA1AF8726}">
      <text>
        <r>
          <rPr>
            <sz val="9"/>
            <color indexed="81"/>
            <rFont val="Tahoma"/>
            <family val="2"/>
          </rPr>
          <t>Weighted average cost</t>
        </r>
      </text>
    </comment>
    <comment ref="D15" authorId="0" shapeId="0" xr:uid="{9C331D49-6C1D-4C72-BF34-B0B9FA0F0A75}">
      <text>
        <r>
          <rPr>
            <sz val="9"/>
            <color indexed="81"/>
            <rFont val="Tahoma"/>
            <family val="2"/>
          </rPr>
          <t>Weighted average cost</t>
        </r>
      </text>
    </comment>
    <comment ref="O15" authorId="0" shapeId="0" xr:uid="{A2377D93-B2B7-47B1-B919-F94BB76BC59D}">
      <text>
        <r>
          <rPr>
            <sz val="9"/>
            <color indexed="81"/>
            <rFont val="Tahoma"/>
            <family val="2"/>
          </rPr>
          <t>Weighted average cost</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740CC6DC-85AC-43E0-9B94-CB696F66ECF0}">
      <text>
        <r>
          <rPr>
            <sz val="9"/>
            <color indexed="81"/>
            <rFont val="Tahoma"/>
            <family val="2"/>
          </rPr>
          <t>Weighted average cost</t>
        </r>
      </text>
    </comment>
    <comment ref="O7" authorId="0" shapeId="0" xr:uid="{5E768E8B-359C-4BE3-8301-1633325A5F02}">
      <text>
        <r>
          <rPr>
            <sz val="9"/>
            <color indexed="81"/>
            <rFont val="Tahoma"/>
            <family val="2"/>
          </rPr>
          <t>Weighted average cost</t>
        </r>
      </text>
    </comment>
    <comment ref="D15" authorId="0" shapeId="0" xr:uid="{E0ED390D-E2C9-4449-8A5C-585DB4C6A057}">
      <text>
        <r>
          <rPr>
            <sz val="9"/>
            <color indexed="81"/>
            <rFont val="Tahoma"/>
            <family val="2"/>
          </rPr>
          <t>Weighted average cost</t>
        </r>
      </text>
    </comment>
    <comment ref="O15" authorId="0" shapeId="0" xr:uid="{DCC675AF-9985-45F4-B1DF-64B7FA5C439B}">
      <text>
        <r>
          <rPr>
            <sz val="9"/>
            <color indexed="81"/>
            <rFont val="Tahoma"/>
            <family val="2"/>
          </rPr>
          <t>Weighted average cost</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25B957E1-66ED-43FF-A21B-7373B755222B}">
      <text>
        <r>
          <rPr>
            <sz val="9"/>
            <color indexed="81"/>
            <rFont val="Tahoma"/>
            <family val="2"/>
          </rPr>
          <t>Weighted average cost</t>
        </r>
      </text>
    </comment>
    <comment ref="O7" authorId="0" shapeId="0" xr:uid="{DE68111C-3091-42B7-B036-E78F9D3FB319}">
      <text>
        <r>
          <rPr>
            <sz val="9"/>
            <color indexed="81"/>
            <rFont val="Tahoma"/>
            <family val="2"/>
          </rPr>
          <t>Weighted average cost</t>
        </r>
      </text>
    </comment>
    <comment ref="D17" authorId="0" shapeId="0" xr:uid="{6B200B05-0E3E-43F4-8630-8D3BEF2A4CFE}">
      <text>
        <r>
          <rPr>
            <sz val="9"/>
            <color indexed="81"/>
            <rFont val="Tahoma"/>
            <family val="2"/>
          </rPr>
          <t>Weighted average cost</t>
        </r>
      </text>
    </comment>
    <comment ref="O17" authorId="0" shapeId="0" xr:uid="{FCC7586C-3D99-4E45-A107-0F270907CA2D}">
      <text>
        <r>
          <rPr>
            <sz val="9"/>
            <color indexed="81"/>
            <rFont val="Tahoma"/>
            <family val="2"/>
          </rPr>
          <t>Weighted average cost</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CF299EDC-2D05-4FCB-A8DA-8ACF3DF3792F}">
      <text>
        <r>
          <rPr>
            <sz val="9"/>
            <color indexed="81"/>
            <rFont val="Tahoma"/>
            <family val="2"/>
          </rPr>
          <t>Weighted average cost</t>
        </r>
      </text>
    </comment>
    <comment ref="O7" authorId="0" shapeId="0" xr:uid="{31D68A6E-DC84-4755-88BE-F10E0FCB97ED}">
      <text>
        <r>
          <rPr>
            <sz val="9"/>
            <color indexed="81"/>
            <rFont val="Tahoma"/>
            <family val="2"/>
          </rPr>
          <t>Weighted average cost</t>
        </r>
      </text>
    </comment>
    <comment ref="D17" authorId="0" shapeId="0" xr:uid="{13E986AB-C4E8-4B9D-8FBC-E824FB23636B}">
      <text>
        <r>
          <rPr>
            <sz val="9"/>
            <color indexed="81"/>
            <rFont val="Tahoma"/>
            <family val="2"/>
          </rPr>
          <t>Weighted average cost</t>
        </r>
      </text>
    </comment>
    <comment ref="O17" authorId="0" shapeId="0" xr:uid="{6F48AFEC-6A9F-411A-AD35-C57C52E9D677}">
      <text>
        <r>
          <rPr>
            <sz val="9"/>
            <color indexed="81"/>
            <rFont val="Tahoma"/>
            <family val="2"/>
          </rPr>
          <t>Weighted average cost</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9" authorId="0" shapeId="0" xr:uid="{B4A57737-88EF-40B3-B7A9-A4C89D130DEC}">
      <text>
        <r>
          <rPr>
            <sz val="9"/>
            <color indexed="81"/>
            <rFont val="Tahoma"/>
            <family val="2"/>
          </rPr>
          <t>Weighted average cost</t>
        </r>
      </text>
    </comment>
    <comment ref="O9" authorId="0" shapeId="0" xr:uid="{DA921BCF-0425-4F12-A68A-1A90975DF8DD}">
      <text>
        <r>
          <rPr>
            <sz val="9"/>
            <color indexed="81"/>
            <rFont val="Tahoma"/>
            <family val="2"/>
          </rPr>
          <t>Weighted average cost</t>
        </r>
      </text>
    </comment>
    <comment ref="D22" authorId="0" shapeId="0" xr:uid="{41C69551-2988-4A85-9821-12A25CA313EC}">
      <text>
        <r>
          <rPr>
            <sz val="9"/>
            <color indexed="81"/>
            <rFont val="Tahoma"/>
            <family val="2"/>
          </rPr>
          <t>Weighted average cost</t>
        </r>
      </text>
    </comment>
    <comment ref="O22" authorId="0" shapeId="0" xr:uid="{CD4A57DC-2527-42D3-A644-46079407FDBA}">
      <text>
        <r>
          <rPr>
            <sz val="9"/>
            <color indexed="81"/>
            <rFont val="Tahoma"/>
            <family val="2"/>
          </rPr>
          <t>Weighted average cost</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9" authorId="0" shapeId="0" xr:uid="{7F4D0AEA-7B98-459E-AF68-B2C01B2E9082}">
      <text>
        <r>
          <rPr>
            <sz val="9"/>
            <color indexed="81"/>
            <rFont val="Tahoma"/>
            <family val="2"/>
          </rPr>
          <t>Weighted average cost</t>
        </r>
      </text>
    </comment>
    <comment ref="O9" authorId="0" shapeId="0" xr:uid="{3E2A8D4A-2F31-4E6A-A725-96540DD51993}">
      <text>
        <r>
          <rPr>
            <sz val="9"/>
            <color indexed="81"/>
            <rFont val="Tahoma"/>
            <family val="2"/>
          </rPr>
          <t>Weighted average cost</t>
        </r>
      </text>
    </comment>
    <comment ref="X9" authorId="0" shapeId="0" xr:uid="{E3CE8EA7-1B04-4B82-AA2F-ABECC8584925}">
      <text>
        <r>
          <rPr>
            <sz val="9"/>
            <color indexed="81"/>
            <rFont val="Tahoma"/>
            <family val="2"/>
          </rPr>
          <t>Weighted average cost</t>
        </r>
      </text>
    </comment>
    <comment ref="D22" authorId="0" shapeId="0" xr:uid="{BD614E42-E544-436B-9CCC-178658EAC97C}">
      <text>
        <r>
          <rPr>
            <sz val="9"/>
            <color indexed="81"/>
            <rFont val="Tahoma"/>
            <family val="2"/>
          </rPr>
          <t>Weighted average cost</t>
        </r>
      </text>
    </comment>
    <comment ref="O22" authorId="0" shapeId="0" xr:uid="{78CA6F28-EC5B-4255-B9FA-93D824E4BC35}">
      <text>
        <r>
          <rPr>
            <sz val="9"/>
            <color indexed="81"/>
            <rFont val="Tahoma"/>
            <family val="2"/>
          </rPr>
          <t>Weighted average cost</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9" authorId="0" shapeId="0" xr:uid="{014D0A81-C3D6-4B20-93C3-0AD5637473C8}">
      <text>
        <r>
          <rPr>
            <sz val="9"/>
            <color indexed="81"/>
            <rFont val="Tahoma"/>
            <family val="2"/>
          </rPr>
          <t>Weighted average cost</t>
        </r>
      </text>
    </comment>
    <comment ref="O9" authorId="0" shapeId="0" xr:uid="{DC80F2D3-CCC3-4300-8EF0-10205637F014}">
      <text>
        <r>
          <rPr>
            <sz val="9"/>
            <color indexed="81"/>
            <rFont val="Tahoma"/>
            <family val="2"/>
          </rPr>
          <t>Weighted average cost</t>
        </r>
      </text>
    </comment>
    <comment ref="X9" authorId="0" shapeId="0" xr:uid="{389995A8-383A-4931-8C1C-00910EE89BC1}">
      <text>
        <r>
          <rPr>
            <sz val="9"/>
            <color indexed="81"/>
            <rFont val="Tahoma"/>
            <family val="2"/>
          </rPr>
          <t>Weighted average cost</t>
        </r>
      </text>
    </comment>
    <comment ref="D22" authorId="0" shapeId="0" xr:uid="{9AC56EA6-F1A5-4908-9A9F-69D82101D02C}">
      <text>
        <r>
          <rPr>
            <sz val="9"/>
            <color indexed="81"/>
            <rFont val="Tahoma"/>
            <family val="2"/>
          </rPr>
          <t>Weighted average cost</t>
        </r>
      </text>
    </comment>
    <comment ref="O22" authorId="0" shapeId="0" xr:uid="{4ADBD9B6-A43F-4C6B-A48A-03D921993771}">
      <text>
        <r>
          <rPr>
            <sz val="9"/>
            <color indexed="81"/>
            <rFont val="Tahoma"/>
            <family val="2"/>
          </rPr>
          <t>Weighted average cost</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9" authorId="0" shapeId="0" xr:uid="{A7C2376B-2622-4182-AC45-D84D048BED28}">
      <text>
        <r>
          <rPr>
            <sz val="9"/>
            <color indexed="81"/>
            <rFont val="Tahoma"/>
            <family val="2"/>
          </rPr>
          <t>Weighted average cost</t>
        </r>
      </text>
    </comment>
    <comment ref="O9" authorId="0" shapeId="0" xr:uid="{E2E3B394-A446-4A3F-B7DA-DF29012680CA}">
      <text>
        <r>
          <rPr>
            <sz val="9"/>
            <color indexed="81"/>
            <rFont val="Tahoma"/>
            <family val="2"/>
          </rPr>
          <t>Weighted average cost</t>
        </r>
      </text>
    </comment>
    <comment ref="D22" authorId="0" shapeId="0" xr:uid="{A0ED2E7A-065A-4385-8923-0B3287FE2A04}">
      <text>
        <r>
          <rPr>
            <sz val="9"/>
            <color indexed="81"/>
            <rFont val="Tahoma"/>
            <family val="2"/>
          </rPr>
          <t>Weighted average cost</t>
        </r>
      </text>
    </comment>
    <comment ref="O22" authorId="0" shapeId="0" xr:uid="{CE478184-AE9F-476E-9A7A-7CF03D12248F}">
      <text>
        <r>
          <rPr>
            <sz val="9"/>
            <color indexed="81"/>
            <rFont val="Tahoma"/>
            <family val="2"/>
          </rPr>
          <t>Weighted average cost</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AE22FEB7-A396-494C-BE58-A626E0530613}">
      <text>
        <r>
          <rPr>
            <sz val="9"/>
            <color indexed="81"/>
            <rFont val="Tahoma"/>
            <family val="2"/>
          </rPr>
          <t>Weighted average cost</t>
        </r>
      </text>
    </comment>
    <comment ref="O7" authorId="0" shapeId="0" xr:uid="{7F39849F-C55E-4069-B6AD-14D4A086F6C7}">
      <text>
        <r>
          <rPr>
            <sz val="9"/>
            <color indexed="81"/>
            <rFont val="Tahoma"/>
            <family val="2"/>
          </rPr>
          <t>Weighted average cost</t>
        </r>
      </text>
    </comment>
    <comment ref="D17" authorId="0" shapeId="0" xr:uid="{011E7388-B56B-433F-B0D3-E70E82695238}">
      <text>
        <r>
          <rPr>
            <sz val="9"/>
            <color indexed="81"/>
            <rFont val="Tahoma"/>
            <family val="2"/>
          </rPr>
          <t>Weighted average cost</t>
        </r>
      </text>
    </comment>
    <comment ref="O17" authorId="0" shapeId="0" xr:uid="{B7771B2E-1454-4193-8872-8513D55185E5}">
      <text>
        <r>
          <rPr>
            <sz val="9"/>
            <color indexed="81"/>
            <rFont val="Tahoma"/>
            <family val="2"/>
          </rPr>
          <t>Weighted average cost</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7" authorId="0" shapeId="0" xr:uid="{04C3DBB4-4FCE-4DA4-9886-665AD9F5A7DA}">
      <text>
        <r>
          <rPr>
            <sz val="9"/>
            <color indexed="81"/>
            <rFont val="Tahoma"/>
            <family val="2"/>
          </rPr>
          <t>Weighted average cost</t>
        </r>
      </text>
    </comment>
    <comment ref="O7" authorId="0" shapeId="0" xr:uid="{D36AA78A-3275-46A2-B83B-B7DF0A59EC43}">
      <text>
        <r>
          <rPr>
            <sz val="9"/>
            <color indexed="81"/>
            <rFont val="Tahoma"/>
            <family val="2"/>
          </rPr>
          <t>Weighted average cost</t>
        </r>
      </text>
    </comment>
    <comment ref="D17" authorId="0" shapeId="0" xr:uid="{4C057A1B-4314-4A70-BFE6-7055E61F8CA1}">
      <text>
        <r>
          <rPr>
            <sz val="9"/>
            <color indexed="81"/>
            <rFont val="Tahoma"/>
            <family val="2"/>
          </rPr>
          <t>Weighted average cost</t>
        </r>
      </text>
    </comment>
    <comment ref="O17" authorId="0" shapeId="0" xr:uid="{9045535C-AE44-454A-9CB6-CF1D17E3F833}">
      <text>
        <r>
          <rPr>
            <sz val="9"/>
            <color indexed="81"/>
            <rFont val="Tahoma"/>
            <family val="2"/>
          </rPr>
          <t>Weighted average cost</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D9" authorId="0" shapeId="0" xr:uid="{5A879C6D-37BE-419C-A8D5-4BF0FE163004}">
      <text>
        <r>
          <rPr>
            <sz val="9"/>
            <color indexed="81"/>
            <rFont val="Tahoma"/>
            <family val="2"/>
          </rPr>
          <t>Weighted average cost</t>
        </r>
      </text>
    </comment>
    <comment ref="O9" authorId="0" shapeId="0" xr:uid="{74B44A85-1ECD-4A26-B0BA-19961B3B24A9}">
      <text>
        <r>
          <rPr>
            <sz val="9"/>
            <color indexed="81"/>
            <rFont val="Tahoma"/>
            <family val="2"/>
          </rPr>
          <t>Weighted average cost</t>
        </r>
      </text>
    </comment>
    <comment ref="X9" authorId="0" shapeId="0" xr:uid="{700F0AE7-4DD4-4055-BAD3-C235F75D37BD}">
      <text>
        <r>
          <rPr>
            <sz val="9"/>
            <color indexed="81"/>
            <rFont val="Tahoma"/>
            <family val="2"/>
          </rPr>
          <t>Weighted average cost</t>
        </r>
      </text>
    </comment>
    <comment ref="D22" authorId="0" shapeId="0" xr:uid="{BE982039-2F7C-4A0A-AFEC-C2EAC41D86B3}">
      <text>
        <r>
          <rPr>
            <sz val="9"/>
            <color indexed="81"/>
            <rFont val="Tahoma"/>
            <family val="2"/>
          </rPr>
          <t>Weighted average cost</t>
        </r>
      </text>
    </comment>
    <comment ref="O22" authorId="0" shapeId="0" xr:uid="{C9C70004-2A1A-4534-8193-CADA078BBC1E}">
      <text>
        <r>
          <rPr>
            <sz val="9"/>
            <color indexed="81"/>
            <rFont val="Tahoma"/>
            <family val="2"/>
          </rPr>
          <t>Weighted average cost</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Luiz Fernando Avelino Reciolino</author>
  </authors>
  <commentList>
    <comment ref="O7" authorId="0" shapeId="0" xr:uid="{5A7151C2-752B-48EB-B059-55E8E008D80E}">
      <text>
        <r>
          <rPr>
            <sz val="9"/>
            <color indexed="81"/>
            <rFont val="Tahoma"/>
            <family val="2"/>
          </rPr>
          <t>Weighted average cost</t>
        </r>
      </text>
    </comment>
    <comment ref="O17" authorId="0" shapeId="0" xr:uid="{69824360-7D52-4D6D-904A-7A22839163EF}">
      <text>
        <r>
          <rPr>
            <sz val="9"/>
            <color indexed="81"/>
            <rFont val="Tahoma"/>
            <family val="2"/>
          </rPr>
          <t>Weighted average cost</t>
        </r>
      </text>
    </comment>
    <comment ref="O25" authorId="0" shapeId="0" xr:uid="{2EC7513C-D9D2-41CF-9CE2-E8733DBFC568}">
      <text>
        <r>
          <rPr>
            <sz val="9"/>
            <color indexed="81"/>
            <rFont val="Tahoma"/>
            <family val="2"/>
          </rPr>
          <t>Weighted average cost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nection" type="5" refreshedVersion="2">
    <dbPr connection="Provider=MSOLAP.3;Persist Security Info=True;User ID=&quot;&quot;;Initial Catalog=GDF;Data Source=gva1swdemeter;Location=gva1swdemeter;Safety Options=2" command="GDF Cube" commandType="1"/>
    <olapPr rowDrillCount="1000" serverFill="0" serverNumberFormat="0" serverFont="0" serverFontColor="0"/>
  </connection>
  <connection id="2" xr16:uid="{00000000-0015-0000-FFFF-FFFF01000000}" keepAlive="1" name="Connection1" type="5" refreshedVersion="2">
    <dbPr connection="Provider=MSOLAP.3;Persist Security Info=True;User ID=&quot;&quot;;Initial Catalog=GDF;Data Source=gva1swdemeter;Location=gva1swdemeter;Safety Options=2" command="GDF Cube" commandType="1"/>
    <olapPr rowDrillCount="1000" serverFill="0" serverNumberFormat="0" serverFont="0" serverFontColor="0"/>
  </connection>
  <connection id="3" xr16:uid="{00000000-0015-0000-FFFF-FFFF02000000}" odcFile="\\Wims\hq\GVA11\Home\cl-HTM\Dept-TBP\t-TBP\cordierlassallet\My Documents\My Data Sources\ssas201 GDF GDF Cube.odc" keepAlive="1" name="ssas201 GDF GDF Cube" type="5" refreshedVersion="4" background="1">
    <dbPr connection="Provider=MSOLAP.4;Integrated Security=SSPI;Persist Security Info=True;Initial Catalog=GDF;Data Source=ssas201;MDX Compatibility=1;Safety Options=2;MDX Missing Member Mode=Error" command="GDF Cube" commandType="1"/>
    <olapPr sendLocale="1" rowDrillCount="1000"/>
  </connection>
</connections>
</file>

<file path=xl/sharedStrings.xml><?xml version="1.0" encoding="utf-8"?>
<sst xmlns="http://schemas.openxmlformats.org/spreadsheetml/2006/main" count="2036" uniqueCount="158">
  <si>
    <t>250 mg</t>
  </si>
  <si>
    <t>400 mg</t>
  </si>
  <si>
    <t>Intensive Phase</t>
  </si>
  <si>
    <t>Medicine</t>
  </si>
  <si>
    <t>Strength</t>
  </si>
  <si>
    <t>Cost per Basic Units of Consumption (BUC)</t>
  </si>
  <si>
    <t>Daily Dose in BUC</t>
  </si>
  <si>
    <t>Days in Months</t>
  </si>
  <si>
    <t>No. of months</t>
  </si>
  <si>
    <t xml:space="preserve">Full treatment in  BUC / Number of BUC required </t>
  </si>
  <si>
    <t>Cost of Intensive Phase in US$</t>
  </si>
  <si>
    <t>1 g</t>
  </si>
  <si>
    <t>Cycloserin</t>
  </si>
  <si>
    <t>Levofloxacin</t>
  </si>
  <si>
    <t>Total Cost (USD) of Intensive Phase</t>
  </si>
  <si>
    <t>Continuation Phase</t>
  </si>
  <si>
    <t>TOTAL COST PER PATIENT FOR 24 months:</t>
  </si>
  <si>
    <t>Updated Example of low end-of-range cost calculation for one country</t>
  </si>
  <si>
    <t>Ethionamide</t>
  </si>
  <si>
    <t>Levoxloxacin</t>
  </si>
  <si>
    <t>Amikacin</t>
  </si>
  <si>
    <t>500 mg</t>
  </si>
  <si>
    <r>
      <t xml:space="preserve">Notes: 
- </t>
    </r>
    <r>
      <rPr>
        <sz val="10"/>
        <rFont val="Calibri"/>
        <family val="2"/>
      </rPr>
      <t>The Cost containtment examples of low and high range have been updated according to the current treatment regimens used by the programs. The length of the intensive and continuation phase have been modified and for the high range, Moxifloxacin has been chosen as floroquinalone and for the low range Amikacin has been seclected as injectable.
- The treatment cost only include the cost EXW of the drugs, it does not include related costs such as procurement fee, quality control, consolidation, etc. It is estimated that those cost will represent 10% of the cost EXW of the drugs</t>
    </r>
  </si>
  <si>
    <t>December 2011 EXW manufacturers prices</t>
  </si>
  <si>
    <t>Treatment regimen 8 Am Eto Cs Lfx/ 16 Eto Cs Lfx</t>
  </si>
  <si>
    <t>Kanamycin</t>
  </si>
  <si>
    <t>Cost of Cont Phase in US$</t>
  </si>
  <si>
    <t>TOTAL COST PER PATIENT FOR 20 months:</t>
  </si>
  <si>
    <t>Cycloserine</t>
  </si>
  <si>
    <t>400mg</t>
  </si>
  <si>
    <t>Pyrazinamide</t>
  </si>
  <si>
    <t>Etambutol</t>
  </si>
  <si>
    <t>300mg</t>
  </si>
  <si>
    <t>100mg</t>
  </si>
  <si>
    <t>TOTAL COST PER PATIENT FOR 9 months:</t>
  </si>
  <si>
    <t>RHZE(150/75/400/275)</t>
  </si>
  <si>
    <t>900 mg</t>
  </si>
  <si>
    <t>RH(150/75)</t>
  </si>
  <si>
    <t>225 mg</t>
  </si>
  <si>
    <t>TOTAL COST PER PATIENT FOR 6 months:</t>
  </si>
  <si>
    <t xml:space="preserve">RHZ (75/50/150) </t>
  </si>
  <si>
    <t>4-7 kg weight band</t>
  </si>
  <si>
    <t>RH(75/50)</t>
  </si>
  <si>
    <t>125 mg</t>
  </si>
  <si>
    <t>275 mg</t>
  </si>
  <si>
    <t>8-11 kg weight band</t>
  </si>
  <si>
    <t>12-15 kg weight band</t>
  </si>
  <si>
    <t>16-24 kg weight band</t>
  </si>
  <si>
    <t>Total Cost (USD) of Continuation Phase</t>
  </si>
  <si>
    <t>Treatment regimen: 4 Km/Cfz/E/H/Mfx/Pto/Z/WFI and 5 Cfz/E/Mfx/Z</t>
  </si>
  <si>
    <t>Treatment regimen: 8 Z Cm Lfx Eto Cs WFI / 12 Z Lfx Eto Cs</t>
  </si>
  <si>
    <t>Weight band</t>
  </si>
  <si>
    <t>4-7 kg</t>
  </si>
  <si>
    <t>8-11 kg</t>
  </si>
  <si>
    <t>12-15 kg</t>
  </si>
  <si>
    <t>16-24 kg</t>
  </si>
  <si>
    <t>25-39 kg</t>
  </si>
  <si>
    <t>40-54 kg</t>
  </si>
  <si>
    <t>55-70 kg</t>
  </si>
  <si>
    <t>&gt; 70 kg</t>
  </si>
  <si>
    <t>46-55 kg</t>
  </si>
  <si>
    <t>30-50 kg</t>
  </si>
  <si>
    <t>30-50 kg weight band</t>
  </si>
  <si>
    <t>46-55 kg weight band</t>
  </si>
  <si>
    <t>&gt; 70 kg weight band</t>
  </si>
  <si>
    <t>55-70 kg weight band</t>
  </si>
  <si>
    <t>40-54 kg weight band</t>
  </si>
  <si>
    <t>25-39 kg weight band</t>
  </si>
  <si>
    <t>Treatment regimen:  2RHZ(75/50/150)/4RH(75/50)</t>
  </si>
  <si>
    <t>Treatment regimen: 2RHZE(150/75/400/275)/4RH(150/75)</t>
  </si>
  <si>
    <t>Treatment regimen: 8 Z Km Lfx Pto Cs WFI / 12 Z Lfx Pto Cs</t>
  </si>
  <si>
    <t>Treatment regimen: 8 Z Cm Lfx Pto Cs WFI / 12 Z Lfx Pto Cs</t>
  </si>
  <si>
    <t>Moxifloxacin</t>
  </si>
  <si>
    <t>Clofazimine</t>
  </si>
  <si>
    <t>Isoniazid</t>
  </si>
  <si>
    <t>STR MDR-TB</t>
  </si>
  <si>
    <t>2RHZE(150/75/400/275)/ 4RH(150/75)</t>
  </si>
  <si>
    <t>Prothionamide</t>
  </si>
  <si>
    <t>Capreomycin</t>
  </si>
  <si>
    <t>2RHZ (75/50/150)/ 4RH (75/50)</t>
  </si>
  <si>
    <t>Difference in %</t>
  </si>
  <si>
    <t>8 Z Km Lfx Eto Cs / 12 Z Lfx Eto Cs</t>
  </si>
  <si>
    <t>Cost per tablet</t>
  </si>
  <si>
    <t>Daily Dose in tablet</t>
  </si>
  <si>
    <t xml:space="preserve">Full treatment  / Number of tablet required </t>
  </si>
  <si>
    <t xml:space="preserve">Full treatment  / Number of tablets required </t>
  </si>
  <si>
    <t xml:space="preserve">Full treatment in  BUC / Number of tablets required </t>
  </si>
  <si>
    <t xml:space="preserve">Full treatment / Number of tablets required </t>
  </si>
  <si>
    <t xml:space="preserve">Full treatment  / Number of tabletsrequired </t>
  </si>
  <si>
    <t>Cost per tablet/vial/amp</t>
  </si>
  <si>
    <t>Daily Dose in Tablet/vial/amp</t>
  </si>
  <si>
    <t xml:space="preserve">Full treatment / Number of tablet/vial required </t>
  </si>
  <si>
    <t>Cost per tablet/vial</t>
  </si>
  <si>
    <t>Daily Dose in tablet/vial</t>
  </si>
  <si>
    <t>Weighted average Prices, USD</t>
  </si>
  <si>
    <t>Cheapest Prices, USD</t>
  </si>
  <si>
    <t>4 Km Cfz E H Mfx Pto Z / 5 Cfz E Mfx Z</t>
  </si>
  <si>
    <t xml:space="preserve"> </t>
  </si>
  <si>
    <t>CHEAPEST PRODUCT</t>
  </si>
  <si>
    <t>MDR-TB Conventional</t>
  </si>
  <si>
    <t>TB treatment regimen</t>
  </si>
  <si>
    <t xml:space="preserve">Adult                             Drug-Susceptible TB </t>
  </si>
  <si>
    <t>Paediatric 
Drug-Susceptible TB</t>
  </si>
  <si>
    <t>Comparison of TB treatment regimen prices in USD
2019 vs 2018</t>
  </si>
  <si>
    <t>Treatment regimen: 8 Z Km Lfx Eto Cs WFI / 12 Z Lfx Eto Cs</t>
  </si>
  <si>
    <t>Treatment regimen: 8 Z KmMfx Eto Cs WFI / 12 Z Mfx Eto Cs</t>
  </si>
  <si>
    <t>Treatment regimen: 8 Z Km Mfx Eto Cs WFI / 12 Z Mfx Eto Cs</t>
  </si>
  <si>
    <t>Treatment regimen: 8 Z Cm Mfx Eto Cs WFI / 12 Z Mfx Eto Cs</t>
  </si>
  <si>
    <t>Treatment regimen: 8 Z Cm mfx Eto Cs WFI / 12 Z mfx Eto Cs</t>
  </si>
  <si>
    <t>BDQ</t>
  </si>
  <si>
    <t>Treatment regimen: 6 Mfx Bdq Lzd Cs Cfz / 14 Mfx Cs Cfz</t>
  </si>
  <si>
    <t>Bedaquiline = 400 USD</t>
  </si>
  <si>
    <t>Bedaquiline</t>
  </si>
  <si>
    <t>Linezolid</t>
  </si>
  <si>
    <t>600mg</t>
  </si>
  <si>
    <t xml:space="preserve">Treatment regimen: </t>
  </si>
  <si>
    <t>Treatment regimen: 6 Mfx Bdq Lzd Cs Cfz / 6 Mfx Lzd Cs Cfz / 8 Mfx Cs Cfz</t>
  </si>
  <si>
    <t>Macleods price</t>
  </si>
  <si>
    <t>Treatment regimen: 6 Lfx Bdq Lzd Cs Cfz / 14 Lfx Cs Cfz</t>
  </si>
  <si>
    <t>Treatment regimen: 6 Lfx Bdq Lzd Cs Cfz / 6 Lfx Lzd Cs Cfz / 8 Lfx Cs Cfz</t>
  </si>
  <si>
    <t>Treatment regimen: 4 Am Cfz E H Mfx Pto Z / 5 Cfz E Mfx Z</t>
  </si>
  <si>
    <t>500mg</t>
  </si>
  <si>
    <t>Treatment regimen: STR with BDQ instead of Injectable.</t>
  </si>
  <si>
    <t>New LTR Mfx 6 Lnz</t>
  </si>
  <si>
    <t>New LTR Mfx 12 Lnz</t>
  </si>
  <si>
    <t>New LTR Lfx 6 Lnz</t>
  </si>
  <si>
    <t>New LTR Lfx 12 Lnz</t>
  </si>
  <si>
    <t>6 Mfx Bdq Lnz Cs Cfz / 6 Mfx Lnz Cs Cfz / 8 Mfx Cs Cfz</t>
  </si>
  <si>
    <t>6 Lfx Bdq Lnz Cs Cfz / 14 Lfx Cs Cfz</t>
  </si>
  <si>
    <t>6 Lfx Bdq Lnz Cs Cfz / 6 Lfx Lnz Cs Cfz / 8 Lfx Cs Cfz</t>
  </si>
  <si>
    <t xml:space="preserve"> 6 Mfx Bdq Lnz Cs Cfz / 14 Mfx Cs Cfz</t>
  </si>
  <si>
    <t>4 Am Cfz E H Mfx Pto Z / 5 Cfz E Mfx Z</t>
  </si>
  <si>
    <t>4 BDQ Cfz E H Mfx Pto Z / 5 Cfz E Mfx Z</t>
  </si>
  <si>
    <t xml:space="preserve">CHEAPEST </t>
  </si>
  <si>
    <t>Delamanid</t>
  </si>
  <si>
    <t>100 mg</t>
  </si>
  <si>
    <t>50 mg</t>
  </si>
  <si>
    <t>PAS</t>
  </si>
  <si>
    <t>4 gm</t>
  </si>
  <si>
    <t>Treatment regimen: 6 Lfx Cs Cfz Dlm Pas / 6 Lfx Cs Cfz Pas</t>
  </si>
  <si>
    <t>3-&lt;6 Years FQ-S (10-15kg)</t>
  </si>
  <si>
    <t>Total Cost (USD) of treatment</t>
  </si>
  <si>
    <t>Phase 1</t>
  </si>
  <si>
    <t>Phase 2</t>
  </si>
  <si>
    <t>600 mg</t>
  </si>
  <si>
    <t>Phase 3</t>
  </si>
  <si>
    <t>Total Cost (USD) of Phase 1</t>
  </si>
  <si>
    <t>Total Cost (USD) of Phase 2</t>
  </si>
  <si>
    <t>Total Cost (USD) of Phase 3</t>
  </si>
  <si>
    <t>New STR Am</t>
  </si>
  <si>
    <t>New STR BDQ</t>
  </si>
  <si>
    <t>New LTR Kids</t>
  </si>
  <si>
    <t>6 Lfx Cs Cfz Dlm Pas / 6 Lfx Cs Cfz Pas</t>
  </si>
  <si>
    <t>10-15 kg</t>
  </si>
  <si>
    <t>Modified STR</t>
  </si>
  <si>
    <t>N/A</t>
  </si>
  <si>
    <t>Treatment regimen: modified STR 4 Lzd H BDQ Mfx Cfz E Z / 2 BDQ Mfx Cfz E Z / 3 Mfx Cfz E Z</t>
  </si>
  <si>
    <t>4 Lzd H BDQ Mfx Cfz E Z / 2 BDQ Mfx Cfz E Z / 3 Mfx Cfz E 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</si>
</sst>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_-&quot;$&quot;* #,##0.00_-;\-&quot;$&quot;* #,##0.00_-;_-&quot;$&quot;* &quot;-&quot;??_-;_-@_-"/>
    <numFmt numFmtId="166" formatCode="_-* #,##0.00_-;_-* #,##0.00\-;_-* &quot;-&quot;??_-;_-@_-"/>
    <numFmt numFmtId="167" formatCode="&quot;$&quot;#,##0.00"/>
    <numFmt numFmtId="168" formatCode="0.0%"/>
    <numFmt numFmtId="169" formatCode="0.0"/>
    <numFmt numFmtId="170" formatCode="0.0000"/>
    <numFmt numFmtId="171" formatCode="[$$-409]#,##0.0000"/>
  </numFmts>
  <fonts count="41"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Calibri"/>
      <family val="2"/>
    </font>
    <font>
      <sz val="10"/>
      <name val="Arial"/>
      <family val="2"/>
    </font>
    <font>
      <b/>
      <sz val="12"/>
      <name val="Calibri"/>
      <family val="2"/>
    </font>
    <font>
      <sz val="10"/>
      <name val="Calibri"/>
      <family val="2"/>
    </font>
    <font>
      <sz val="11"/>
      <color indexed="8"/>
      <name val="Calibri"/>
      <family val="2"/>
    </font>
    <font>
      <b/>
      <sz val="12"/>
      <color indexed="10"/>
      <name val="Calibri"/>
      <family val="2"/>
    </font>
    <font>
      <sz val="11"/>
      <color theme="1"/>
      <name val="Calibri"/>
      <family val="2"/>
      <scheme val="minor"/>
    </font>
    <font>
      <b/>
      <sz val="14"/>
      <color rgb="FFFF0000"/>
      <name val="Calibri"/>
      <family val="2"/>
    </font>
    <font>
      <sz val="10"/>
      <name val="Arial"/>
      <family val="2"/>
    </font>
    <font>
      <sz val="16"/>
      <name val="Arial"/>
      <family val="2"/>
    </font>
    <font>
      <b/>
      <sz val="12"/>
      <name val="Calibri"/>
      <family val="2"/>
      <scheme val="minor"/>
    </font>
    <font>
      <sz val="12"/>
      <name val="Calibri"/>
      <family val="2"/>
      <scheme val="minor"/>
    </font>
    <font>
      <u/>
      <sz val="10"/>
      <color theme="10"/>
      <name val="Arial"/>
      <family val="2"/>
    </font>
    <font>
      <sz val="9"/>
      <color indexed="81"/>
      <name val="Tahoma"/>
      <family val="2"/>
    </font>
    <font>
      <sz val="10"/>
      <name val="Calibri"/>
      <family val="2"/>
      <scheme val="minor"/>
    </font>
    <font>
      <b/>
      <sz val="16"/>
      <color theme="0"/>
      <name val="Calibri"/>
      <family val="2"/>
      <scheme val="minor"/>
    </font>
    <font>
      <b/>
      <sz val="16"/>
      <color theme="0"/>
      <name val="Calibri"/>
      <family val="2"/>
    </font>
    <font>
      <b/>
      <sz val="28"/>
      <color theme="0"/>
      <name val="Calibri"/>
      <family val="2"/>
      <scheme val="minor"/>
    </font>
    <font>
      <b/>
      <sz val="9"/>
      <color theme="0"/>
      <name val="Calibri"/>
      <family val="2"/>
      <scheme val="minor"/>
    </font>
    <font>
      <b/>
      <sz val="12"/>
      <color rgb="FFFF0000"/>
      <name val="Calibri"/>
      <family val="2"/>
    </font>
    <font>
      <b/>
      <sz val="10"/>
      <color theme="0"/>
      <name val="Calibri"/>
      <family val="2"/>
      <scheme val="minor"/>
    </font>
    <font>
      <sz val="10"/>
      <name val="Cambria"/>
      <family val="1"/>
      <scheme val="major"/>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
      <patternFill patternType="solid">
        <fgColor theme="6" tint="0.59999389629810485"/>
        <bgColor indexed="64"/>
      </patternFill>
    </fill>
    <fill>
      <patternFill patternType="solid">
        <fgColor rgb="FFFFC000"/>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00B050"/>
        <bgColor indexed="64"/>
      </patternFill>
    </fill>
  </fills>
  <borders count="3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64">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166" fontId="20" fillId="0" borderId="0" applyFont="0" applyFill="0" applyBorder="0" applyAlignment="0" applyProtection="0"/>
    <xf numFmtId="164" fontId="20" fillId="0" borderId="0" applyFont="0" applyFill="0" applyBorder="0" applyAlignment="0" applyProtection="0"/>
    <xf numFmtId="43" fontId="2" fillId="0" borderId="0" applyFont="0" applyFill="0" applyBorder="0" applyAlignment="0" applyProtection="0"/>
    <xf numFmtId="164" fontId="20" fillId="0" borderId="0" applyFont="0" applyFill="0" applyBorder="0" applyAlignment="0" applyProtection="0"/>
    <xf numFmtId="164" fontId="23" fillId="0" borderId="0" applyFon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20" fillId="0" borderId="0"/>
    <xf numFmtId="0" fontId="25" fillId="0" borderId="0"/>
    <xf numFmtId="0" fontId="25" fillId="0" borderId="0"/>
    <xf numFmtId="0" fontId="1" fillId="23" borderId="7" applyNumberFormat="0" applyFont="0" applyAlignment="0" applyProtection="0"/>
    <xf numFmtId="0" fontId="20" fillId="23" borderId="7" applyNumberFormat="0" applyFont="0" applyAlignment="0" applyProtection="0"/>
    <xf numFmtId="0" fontId="20" fillId="23" borderId="7" applyNumberFormat="0" applyFont="0" applyAlignment="0" applyProtection="0"/>
    <xf numFmtId="0" fontId="20" fillId="23" borderId="7" applyNumberFormat="0" applyFont="0" applyAlignment="0" applyProtection="0"/>
    <xf numFmtId="0" fontId="15" fillId="20" borderId="8" applyNumberFormat="0" applyAlignment="0" applyProtection="0"/>
    <xf numFmtId="9" fontId="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3" fillId="0" borderId="0" applyFont="0" applyFill="0" applyBorder="0" applyAlignment="0" applyProtection="0"/>
    <xf numFmtId="0" fontId="20" fillId="0" borderId="0"/>
    <xf numFmtId="0" fontId="16" fillId="0" borderId="0" applyNumberFormat="0" applyFill="0" applyBorder="0" applyAlignment="0" applyProtection="0"/>
    <xf numFmtId="0" fontId="17" fillId="0" borderId="9" applyNumberFormat="0" applyFill="0" applyAlignment="0" applyProtection="0"/>
    <xf numFmtId="165" fontId="20" fillId="0" borderId="0" applyFont="0" applyFill="0" applyBorder="0" applyAlignment="0" applyProtection="0"/>
    <xf numFmtId="0" fontId="18" fillId="0" borderId="0" applyNumberFormat="0" applyFill="0" applyBorder="0" applyAlignment="0" applyProtection="0"/>
    <xf numFmtId="43" fontId="27" fillId="0" borderId="0" applyFont="0" applyFill="0" applyBorder="0" applyAlignment="0" applyProtection="0"/>
    <xf numFmtId="0" fontId="31" fillId="0" borderId="0" applyNumberFormat="0" applyFill="0" applyBorder="0" applyAlignment="0" applyProtection="0"/>
    <xf numFmtId="0" fontId="1" fillId="0" borderId="0"/>
  </cellStyleXfs>
  <cellXfs count="129">
    <xf numFmtId="0" fontId="0" fillId="0" borderId="0" xfId="0"/>
    <xf numFmtId="0" fontId="22" fillId="0" borderId="0" xfId="44" applyFont="1"/>
    <xf numFmtId="0" fontId="22" fillId="0" borderId="10" xfId="44" applyFont="1" applyBorder="1"/>
    <xf numFmtId="167" fontId="22" fillId="0" borderId="10" xfId="44" applyNumberFormat="1" applyFont="1" applyBorder="1"/>
    <xf numFmtId="0" fontId="22" fillId="0" borderId="11" xfId="44" applyFont="1" applyBorder="1"/>
    <xf numFmtId="0" fontId="22" fillId="0" borderId="12" xfId="44" applyFont="1" applyBorder="1"/>
    <xf numFmtId="0" fontId="19" fillId="0" borderId="13" xfId="44" applyFont="1" applyBorder="1"/>
    <xf numFmtId="0" fontId="19" fillId="0" borderId="14" xfId="44" applyFont="1" applyBorder="1" applyAlignment="1">
      <alignment horizontal="right"/>
    </xf>
    <xf numFmtId="167" fontId="19" fillId="0" borderId="14" xfId="44" applyNumberFormat="1" applyFont="1" applyBorder="1"/>
    <xf numFmtId="0" fontId="19" fillId="0" borderId="0" xfId="44" applyFont="1" applyAlignment="1">
      <alignment horizontal="right"/>
    </xf>
    <xf numFmtId="167" fontId="19" fillId="0" borderId="0" xfId="44" applyNumberFormat="1" applyFont="1"/>
    <xf numFmtId="167" fontId="19" fillId="0" borderId="21" xfId="44" applyNumberFormat="1" applyFont="1" applyBorder="1"/>
    <xf numFmtId="0" fontId="0" fillId="0" borderId="0" xfId="0" applyAlignment="1">
      <alignment horizontal="left" vertical="center"/>
    </xf>
    <xf numFmtId="0" fontId="28" fillId="0" borderId="0" xfId="0" applyFont="1"/>
    <xf numFmtId="0" fontId="0" fillId="24" borderId="0" xfId="0" applyFill="1"/>
    <xf numFmtId="0" fontId="33" fillId="0" borderId="0" xfId="0" applyFont="1"/>
    <xf numFmtId="0" fontId="19" fillId="26" borderId="10" xfId="44" applyFont="1" applyFill="1" applyBorder="1"/>
    <xf numFmtId="0" fontId="19" fillId="26" borderId="10" xfId="44" applyFont="1" applyFill="1" applyBorder="1" applyAlignment="1">
      <alignment horizontal="center" vertical="top" wrapText="1"/>
    </xf>
    <xf numFmtId="0" fontId="19" fillId="27" borderId="10" xfId="44" applyFont="1" applyFill="1" applyBorder="1"/>
    <xf numFmtId="0" fontId="19" fillId="27" borderId="10" xfId="44" applyFont="1" applyFill="1" applyBorder="1" applyAlignment="1">
      <alignment horizontal="center" vertical="top" wrapText="1"/>
    </xf>
    <xf numFmtId="169" fontId="22" fillId="0" borderId="10" xfId="44" applyNumberFormat="1" applyFont="1" applyBorder="1"/>
    <xf numFmtId="43" fontId="30" fillId="28" borderId="15" xfId="61" applyFont="1" applyFill="1" applyBorder="1" applyAlignment="1">
      <alignment horizontal="center"/>
    </xf>
    <xf numFmtId="43" fontId="30" fillId="28" borderId="10" xfId="61" applyFont="1" applyFill="1" applyBorder="1" applyAlignment="1">
      <alignment horizontal="center"/>
    </xf>
    <xf numFmtId="0" fontId="35" fillId="29" borderId="16" xfId="44" applyFont="1" applyFill="1" applyBorder="1" applyAlignment="1">
      <alignment horizontal="center" vertical="center"/>
    </xf>
    <xf numFmtId="170" fontId="22" fillId="30" borderId="10" xfId="44" applyNumberFormat="1" applyFont="1" applyFill="1" applyBorder="1"/>
    <xf numFmtId="170" fontId="22" fillId="0" borderId="10" xfId="44" applyNumberFormat="1" applyFont="1" applyBorder="1"/>
    <xf numFmtId="170" fontId="22" fillId="0" borderId="0" xfId="44" applyNumberFormat="1" applyFont="1"/>
    <xf numFmtId="170" fontId="19" fillId="26" borderId="10" xfId="44" applyNumberFormat="1" applyFont="1" applyFill="1" applyBorder="1" applyAlignment="1">
      <alignment horizontal="center" vertical="top" wrapText="1"/>
    </xf>
    <xf numFmtId="170" fontId="19" fillId="27" borderId="10" xfId="44" applyNumberFormat="1" applyFont="1" applyFill="1" applyBorder="1" applyAlignment="1">
      <alignment horizontal="center" vertical="top" wrapText="1"/>
    </xf>
    <xf numFmtId="0" fontId="1" fillId="0" borderId="0" xfId="0" applyFont="1"/>
    <xf numFmtId="0" fontId="38" fillId="0" borderId="0" xfId="44" applyFont="1"/>
    <xf numFmtId="0" fontId="1" fillId="0" borderId="0" xfId="63"/>
    <xf numFmtId="0" fontId="1" fillId="24" borderId="0" xfId="63" applyFill="1"/>
    <xf numFmtId="0" fontId="19" fillId="26" borderId="10" xfId="63" applyFont="1" applyFill="1" applyBorder="1"/>
    <xf numFmtId="0" fontId="22" fillId="0" borderId="0" xfId="63" applyFont="1"/>
    <xf numFmtId="170" fontId="22" fillId="0" borderId="0" xfId="63" applyNumberFormat="1" applyFont="1"/>
    <xf numFmtId="0" fontId="19" fillId="26" borderId="10" xfId="63" applyFont="1" applyFill="1" applyBorder="1" applyAlignment="1">
      <alignment horizontal="center" vertical="top" wrapText="1"/>
    </xf>
    <xf numFmtId="170" fontId="19" fillId="26" borderId="10" xfId="63" applyNumberFormat="1" applyFont="1" applyFill="1" applyBorder="1" applyAlignment="1">
      <alignment horizontal="center" vertical="top" wrapText="1"/>
    </xf>
    <xf numFmtId="0" fontId="22" fillId="0" borderId="10" xfId="63" applyFont="1" applyBorder="1"/>
    <xf numFmtId="170" fontId="22" fillId="0" borderId="10" xfId="63" applyNumberFormat="1" applyFont="1" applyBorder="1"/>
    <xf numFmtId="167" fontId="22" fillId="0" borderId="10" xfId="63" applyNumberFormat="1" applyFont="1" applyBorder="1"/>
    <xf numFmtId="0" fontId="1" fillId="31" borderId="10" xfId="63" applyFill="1" applyBorder="1"/>
    <xf numFmtId="0" fontId="22" fillId="0" borderId="11" xfId="63" applyFont="1" applyBorder="1"/>
    <xf numFmtId="0" fontId="22" fillId="0" borderId="12" xfId="63" applyFont="1" applyBorder="1"/>
    <xf numFmtId="0" fontId="19" fillId="0" borderId="13" xfId="63" applyFont="1" applyBorder="1"/>
    <xf numFmtId="0" fontId="19" fillId="0" borderId="14" xfId="63" applyFont="1" applyBorder="1" applyAlignment="1">
      <alignment horizontal="right"/>
    </xf>
    <xf numFmtId="167" fontId="19" fillId="0" borderId="14" xfId="63" applyNumberFormat="1" applyFont="1" applyBorder="1"/>
    <xf numFmtId="0" fontId="19" fillId="27" borderId="10" xfId="63" applyFont="1" applyFill="1" applyBorder="1"/>
    <xf numFmtId="0" fontId="19" fillId="27" borderId="10" xfId="63" applyFont="1" applyFill="1" applyBorder="1" applyAlignment="1">
      <alignment horizontal="center" vertical="top" wrapText="1"/>
    </xf>
    <xf numFmtId="170" fontId="19" fillId="27" borderId="10" xfId="63" applyNumberFormat="1" applyFont="1" applyFill="1" applyBorder="1" applyAlignment="1">
      <alignment horizontal="center" vertical="top" wrapText="1"/>
    </xf>
    <xf numFmtId="0" fontId="19" fillId="0" borderId="0" xfId="63" applyFont="1" applyAlignment="1">
      <alignment horizontal="right"/>
    </xf>
    <xf numFmtId="167" fontId="19" fillId="0" borderId="21" xfId="63" applyNumberFormat="1" applyFont="1" applyBorder="1"/>
    <xf numFmtId="167" fontId="19" fillId="0" borderId="0" xfId="63" applyNumberFormat="1" applyFont="1"/>
    <xf numFmtId="170" fontId="1" fillId="0" borderId="0" xfId="63" applyNumberFormat="1"/>
    <xf numFmtId="0" fontId="19" fillId="0" borderId="10" xfId="63" applyFont="1" applyBorder="1"/>
    <xf numFmtId="0" fontId="19" fillId="0" borderId="10" xfId="63" applyFont="1" applyBorder="1" applyAlignment="1">
      <alignment horizontal="center" vertical="top" wrapText="1"/>
    </xf>
    <xf numFmtId="170" fontId="19" fillId="0" borderId="10" xfId="63" applyNumberFormat="1" applyFont="1" applyBorder="1" applyAlignment="1">
      <alignment horizontal="center" vertical="top" wrapText="1"/>
    </xf>
    <xf numFmtId="168" fontId="26" fillId="0" borderId="0" xfId="52" applyNumberFormat="1" applyFont="1"/>
    <xf numFmtId="167" fontId="19" fillId="0" borderId="13" xfId="63" applyNumberFormat="1" applyFont="1" applyBorder="1"/>
    <xf numFmtId="169" fontId="22" fillId="0" borderId="10" xfId="63" applyNumberFormat="1" applyFont="1" applyBorder="1"/>
    <xf numFmtId="0" fontId="21" fillId="0" borderId="0" xfId="63" applyFont="1" applyAlignment="1">
      <alignment horizontal="left"/>
    </xf>
    <xf numFmtId="0" fontId="22" fillId="30" borderId="10" xfId="63" applyFont="1" applyFill="1" applyBorder="1"/>
    <xf numFmtId="169" fontId="22" fillId="30" borderId="10" xfId="63" applyNumberFormat="1" applyFont="1" applyFill="1" applyBorder="1"/>
    <xf numFmtId="0" fontId="0" fillId="31" borderId="10" xfId="0" applyFill="1" applyBorder="1"/>
    <xf numFmtId="0" fontId="0" fillId="31" borderId="15" xfId="0" applyFill="1" applyBorder="1"/>
    <xf numFmtId="171" fontId="40" fillId="0" borderId="10" xfId="0" applyNumberFormat="1" applyFont="1" applyBorder="1" applyAlignment="1">
      <alignment horizontal="center" vertical="center" wrapText="1"/>
    </xf>
    <xf numFmtId="171" fontId="40" fillId="33" borderId="10" xfId="0" applyNumberFormat="1" applyFont="1" applyFill="1" applyBorder="1" applyAlignment="1">
      <alignment horizontal="center" vertical="center" wrapText="1"/>
    </xf>
    <xf numFmtId="171" fontId="40" fillId="27" borderId="10" xfId="0" applyNumberFormat="1" applyFont="1" applyFill="1" applyBorder="1" applyAlignment="1">
      <alignment horizontal="center" vertical="center" wrapText="1"/>
    </xf>
    <xf numFmtId="0" fontId="38" fillId="0" borderId="0" xfId="63" applyFont="1"/>
    <xf numFmtId="43" fontId="30" fillId="32" borderId="16" xfId="61" applyFont="1" applyFill="1" applyBorder="1" applyAlignment="1">
      <alignment horizontal="center"/>
    </xf>
    <xf numFmtId="0" fontId="22" fillId="34" borderId="10" xfId="63" applyFont="1" applyFill="1" applyBorder="1"/>
    <xf numFmtId="0" fontId="29" fillId="25" borderId="10" xfId="0" applyFont="1" applyFill="1" applyBorder="1" applyAlignment="1">
      <alignment horizontal="center" vertical="center"/>
    </xf>
    <xf numFmtId="43" fontId="30" fillId="25" borderId="10" xfId="61" applyFont="1" applyFill="1" applyBorder="1" applyAlignment="1">
      <alignment horizontal="center"/>
    </xf>
    <xf numFmtId="0" fontId="29" fillId="32" borderId="10" xfId="0" applyFont="1" applyFill="1" applyBorder="1" applyAlignment="1">
      <alignment horizontal="center" vertical="center"/>
    </xf>
    <xf numFmtId="43" fontId="30" fillId="32" borderId="10" xfId="61" applyFont="1" applyFill="1" applyBorder="1" applyAlignment="1">
      <alignment horizontal="center"/>
    </xf>
    <xf numFmtId="0" fontId="29" fillId="25" borderId="25" xfId="0" applyFont="1" applyFill="1" applyBorder="1" applyAlignment="1">
      <alignment horizontal="center" vertical="center"/>
    </xf>
    <xf numFmtId="0" fontId="29" fillId="32" borderId="25" xfId="0" applyFont="1" applyFill="1" applyBorder="1" applyAlignment="1">
      <alignment horizontal="center" vertical="center"/>
    </xf>
    <xf numFmtId="0" fontId="29" fillId="32" borderId="26" xfId="0" applyFont="1" applyFill="1" applyBorder="1" applyAlignment="1">
      <alignment horizontal="center" vertical="center"/>
    </xf>
    <xf numFmtId="0" fontId="29" fillId="32" borderId="27" xfId="0" applyFont="1" applyFill="1" applyBorder="1" applyAlignment="1">
      <alignment horizontal="center" vertical="center"/>
    </xf>
    <xf numFmtId="0" fontId="29" fillId="32" borderId="16" xfId="0" applyFont="1" applyFill="1" applyBorder="1" applyAlignment="1">
      <alignment horizontal="center" vertical="center"/>
    </xf>
    <xf numFmtId="0" fontId="29" fillId="32" borderId="28" xfId="0" applyFont="1" applyFill="1" applyBorder="1" applyAlignment="1">
      <alignment horizontal="center" vertical="center"/>
    </xf>
    <xf numFmtId="167" fontId="22" fillId="0" borderId="0" xfId="63" applyNumberFormat="1" applyFont="1"/>
    <xf numFmtId="0" fontId="19" fillId="0" borderId="0" xfId="63" applyFont="1"/>
    <xf numFmtId="0" fontId="19" fillId="0" borderId="0" xfId="63" applyFont="1" applyAlignment="1">
      <alignment horizontal="center" vertical="top" wrapText="1"/>
    </xf>
    <xf numFmtId="170" fontId="19" fillId="0" borderId="0" xfId="63" applyNumberFormat="1" applyFont="1" applyAlignment="1">
      <alignment horizontal="center" vertical="top" wrapText="1"/>
    </xf>
    <xf numFmtId="168" fontId="31" fillId="28" borderId="10" xfId="62" applyNumberFormat="1" applyFill="1" applyBorder="1" applyAlignment="1">
      <alignment horizontal="center" vertical="center"/>
    </xf>
    <xf numFmtId="168" fontId="31" fillId="28" borderId="26" xfId="62" applyNumberFormat="1" applyFill="1" applyBorder="1" applyAlignment="1">
      <alignment horizontal="center" vertical="center"/>
    </xf>
    <xf numFmtId="168" fontId="31" fillId="25" borderId="10" xfId="62" applyNumberFormat="1" applyFill="1" applyBorder="1" applyAlignment="1">
      <alignment horizontal="center" vertical="center"/>
    </xf>
    <xf numFmtId="168" fontId="31" fillId="25" borderId="26" xfId="62" applyNumberFormat="1" applyFill="1" applyBorder="1" applyAlignment="1">
      <alignment horizontal="center" vertical="center"/>
    </xf>
    <xf numFmtId="168" fontId="31" fillId="32" borderId="10" xfId="62" applyNumberFormat="1" applyFill="1" applyBorder="1" applyAlignment="1">
      <alignment horizontal="center" vertical="center"/>
    </xf>
    <xf numFmtId="168" fontId="31" fillId="32" borderId="16" xfId="62" applyNumberFormat="1" applyFill="1" applyBorder="1" applyAlignment="1">
      <alignment horizontal="center" vertical="center"/>
    </xf>
    <xf numFmtId="0" fontId="30" fillId="32" borderId="10" xfId="0" applyFont="1" applyFill="1" applyBorder="1" applyAlignment="1">
      <alignment horizontal="center" vertical="center"/>
    </xf>
    <xf numFmtId="0" fontId="29" fillId="32" borderId="29" xfId="0" applyFont="1" applyFill="1" applyBorder="1" applyAlignment="1">
      <alignment horizontal="center" vertical="center"/>
    </xf>
    <xf numFmtId="0" fontId="29" fillId="32" borderId="11" xfId="0" applyFont="1" applyFill="1" applyBorder="1" applyAlignment="1">
      <alignment horizontal="center" vertical="center"/>
    </xf>
    <xf numFmtId="0" fontId="30" fillId="32" borderId="11" xfId="0" applyFont="1" applyFill="1" applyBorder="1" applyAlignment="1">
      <alignment horizontal="center" vertical="center"/>
    </xf>
    <xf numFmtId="43" fontId="30" fillId="32" borderId="11" xfId="61" applyFont="1" applyFill="1" applyBorder="1" applyAlignment="1">
      <alignment horizontal="center"/>
    </xf>
    <xf numFmtId="168" fontId="31" fillId="32" borderId="11" xfId="62" applyNumberFormat="1" applyFill="1" applyBorder="1" applyAlignment="1">
      <alignment horizontal="center" vertical="center"/>
    </xf>
    <xf numFmtId="0" fontId="29" fillId="32" borderId="30" xfId="0" applyFont="1" applyFill="1" applyBorder="1" applyAlignment="1">
      <alignment horizontal="center" vertical="center"/>
    </xf>
    <xf numFmtId="168" fontId="31" fillId="28" borderId="15" xfId="62" applyNumberFormat="1" applyFill="1" applyBorder="1" applyAlignment="1">
      <alignment horizontal="center" vertical="center"/>
    </xf>
    <xf numFmtId="168" fontId="31" fillId="28" borderId="23" xfId="62" applyNumberFormat="1" applyFill="1" applyBorder="1" applyAlignment="1">
      <alignment horizontal="center" vertical="center"/>
    </xf>
    <xf numFmtId="0" fontId="30" fillId="32" borderId="16" xfId="0" applyFont="1" applyFill="1" applyBorder="1" applyAlignment="1">
      <alignment horizontal="center" vertical="center"/>
    </xf>
    <xf numFmtId="9" fontId="37" fillId="29" borderId="23" xfId="52" applyFont="1" applyFill="1" applyBorder="1" applyAlignment="1">
      <alignment horizontal="center" vertical="center" wrapText="1"/>
    </xf>
    <xf numFmtId="9" fontId="34" fillId="29" borderId="28" xfId="52" applyFont="1" applyFill="1" applyBorder="1" applyAlignment="1">
      <alignment horizontal="center" vertical="center" wrapText="1"/>
    </xf>
    <xf numFmtId="0" fontId="36" fillId="29" borderId="17" xfId="0" applyFont="1" applyFill="1" applyBorder="1" applyAlignment="1">
      <alignment horizontal="center" vertical="center" wrapText="1"/>
    </xf>
    <xf numFmtId="0" fontId="36" fillId="29" borderId="22" xfId="0" applyFont="1" applyFill="1" applyBorder="1" applyAlignment="1">
      <alignment horizontal="center" vertical="center" wrapText="1"/>
    </xf>
    <xf numFmtId="0" fontId="36" fillId="29" borderId="18" xfId="0" applyFont="1" applyFill="1" applyBorder="1" applyAlignment="1">
      <alignment horizontal="center" vertical="center" wrapText="1"/>
    </xf>
    <xf numFmtId="0" fontId="36" fillId="29" borderId="19" xfId="0" applyFont="1" applyFill="1" applyBorder="1" applyAlignment="1">
      <alignment horizontal="center" vertical="center" wrapText="1"/>
    </xf>
    <xf numFmtId="0" fontId="36" fillId="29" borderId="0" xfId="0" applyFont="1" applyFill="1" applyAlignment="1">
      <alignment horizontal="center" vertical="center" wrapText="1"/>
    </xf>
    <xf numFmtId="0" fontId="36" fillId="29" borderId="20" xfId="0" applyFont="1" applyFill="1" applyBorder="1" applyAlignment="1">
      <alignment horizontal="center" vertical="center" wrapText="1"/>
    </xf>
    <xf numFmtId="0" fontId="29" fillId="28" borderId="25" xfId="0" applyFont="1" applyFill="1" applyBorder="1" applyAlignment="1">
      <alignment horizontal="center" vertical="center" wrapText="1"/>
    </xf>
    <xf numFmtId="0" fontId="29" fillId="28" borderId="10" xfId="44" applyFont="1" applyFill="1" applyBorder="1" applyAlignment="1">
      <alignment horizontal="center" vertical="center"/>
    </xf>
    <xf numFmtId="0" fontId="29" fillId="28" borderId="15" xfId="44" applyFont="1" applyFill="1" applyBorder="1" applyAlignment="1">
      <alignment horizontal="center" vertical="center"/>
    </xf>
    <xf numFmtId="0" fontId="34" fillId="29" borderId="15" xfId="0" applyFont="1" applyFill="1" applyBorder="1" applyAlignment="1">
      <alignment horizontal="center" vertical="center" wrapText="1" shrinkToFit="1"/>
    </xf>
    <xf numFmtId="0" fontId="34" fillId="29" borderId="16" xfId="0" applyFont="1" applyFill="1" applyBorder="1" applyAlignment="1">
      <alignment horizontal="center" vertical="center" wrapText="1" shrinkToFit="1"/>
    </xf>
    <xf numFmtId="0" fontId="39" fillId="29" borderId="15" xfId="0" applyFont="1" applyFill="1" applyBorder="1" applyAlignment="1">
      <alignment horizontal="center" vertical="center"/>
    </xf>
    <xf numFmtId="0" fontId="34" fillId="29" borderId="24" xfId="0" applyFont="1" applyFill="1" applyBorder="1" applyAlignment="1">
      <alignment horizontal="center" vertical="center"/>
    </xf>
    <xf numFmtId="0" fontId="34" fillId="29" borderId="15" xfId="0" applyFont="1" applyFill="1" applyBorder="1" applyAlignment="1">
      <alignment horizontal="center" vertical="center"/>
    </xf>
    <xf numFmtId="0" fontId="34" fillId="29" borderId="27" xfId="0" applyFont="1" applyFill="1" applyBorder="1" applyAlignment="1">
      <alignment horizontal="center" vertical="center"/>
    </xf>
    <xf numFmtId="0" fontId="34" fillId="29" borderId="16" xfId="0" applyFont="1" applyFill="1" applyBorder="1" applyAlignment="1">
      <alignment horizontal="center" vertical="center"/>
    </xf>
    <xf numFmtId="9" fontId="37" fillId="29" borderId="15" xfId="52" applyFont="1" applyFill="1" applyBorder="1" applyAlignment="1">
      <alignment horizontal="center" vertical="center" wrapText="1"/>
    </xf>
    <xf numFmtId="9" fontId="34" fillId="29" borderId="16" xfId="52" applyFont="1" applyFill="1" applyBorder="1" applyAlignment="1">
      <alignment horizontal="center" vertical="center" wrapText="1"/>
    </xf>
    <xf numFmtId="0" fontId="29" fillId="28" borderId="24" xfId="0" applyFont="1" applyFill="1" applyBorder="1" applyAlignment="1">
      <alignment horizontal="center" vertical="center" wrapText="1"/>
    </xf>
    <xf numFmtId="0" fontId="21" fillId="0" borderId="0" xfId="44" applyFont="1" applyAlignment="1">
      <alignment horizontal="left"/>
    </xf>
    <xf numFmtId="0" fontId="21" fillId="0" borderId="0" xfId="63" applyFont="1" applyAlignment="1">
      <alignment horizontal="left"/>
    </xf>
    <xf numFmtId="0" fontId="24" fillId="0" borderId="0" xfId="63" applyFont="1" applyAlignment="1">
      <alignment horizontal="left"/>
    </xf>
    <xf numFmtId="0" fontId="19" fillId="0" borderId="0" xfId="63" applyFont="1" applyAlignment="1">
      <alignment horizontal="left" vertical="center" wrapText="1"/>
    </xf>
    <xf numFmtId="0" fontId="22" fillId="0" borderId="0" xfId="63" applyFont="1" applyAlignment="1">
      <alignment horizontal="left" vertical="center" wrapText="1"/>
    </xf>
    <xf numFmtId="0" fontId="21" fillId="0" borderId="0" xfId="63" quotePrefix="1" applyFont="1" applyAlignment="1">
      <alignment horizontal="left"/>
    </xf>
    <xf numFmtId="171" fontId="40" fillId="0" borderId="0" xfId="0" applyNumberFormat="1" applyFont="1" applyAlignment="1">
      <alignment horizontal="center" vertical="center" wrapText="1"/>
    </xf>
  </cellXfs>
  <cellStyles count="6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61" builtinId="3"/>
    <cellStyle name="Comma 2" xfId="28" xr:uid="{00000000-0005-0000-0000-00001B000000}"/>
    <cellStyle name="Comma 2 2" xfId="29" xr:uid="{00000000-0005-0000-0000-00001C000000}"/>
    <cellStyle name="Comma 2 3" xfId="30" xr:uid="{00000000-0005-0000-0000-00001D000000}"/>
    <cellStyle name="Comma 3" xfId="31" xr:uid="{00000000-0005-0000-0000-00001E000000}"/>
    <cellStyle name="Comma 4" xfId="32" xr:uid="{00000000-0005-0000-0000-00001F000000}"/>
    <cellStyle name="Currency 2" xfId="33" xr:uid="{00000000-0005-0000-0000-000020000000}"/>
    <cellStyle name="Dezimal 2" xfId="34" xr:uid="{00000000-0005-0000-0000-000021000000}"/>
    <cellStyle name="Explanatory Text" xfId="35" builtinId="53" customBuiltin="1"/>
    <cellStyle name="Good" xfId="36" builtinId="26" customBuiltin="1"/>
    <cellStyle name="Heading 1" xfId="37" builtinId="16" customBuiltin="1"/>
    <cellStyle name="Heading 2" xfId="38" builtinId="17" customBuiltin="1"/>
    <cellStyle name="Heading 3" xfId="39" builtinId="18" customBuiltin="1"/>
    <cellStyle name="Heading 4" xfId="40" builtinId="19" customBuiltin="1"/>
    <cellStyle name="Hyperlink" xfId="62" builtinId="8"/>
    <cellStyle name="Input" xfId="41" builtinId="20" customBuiltin="1"/>
    <cellStyle name="Linked Cell" xfId="42" builtinId="24" customBuiltin="1"/>
    <cellStyle name="Neutral" xfId="43" builtinId="28" customBuiltin="1"/>
    <cellStyle name="Normal" xfId="0" builtinId="0"/>
    <cellStyle name="Normal 2" xfId="44" xr:uid="{00000000-0005-0000-0000-00002C000000}"/>
    <cellStyle name="Normal 2 2" xfId="45" xr:uid="{00000000-0005-0000-0000-00002D000000}"/>
    <cellStyle name="Normal 2 3" xfId="63" xr:uid="{D6253261-714A-4375-B91B-8B7B92F36501}"/>
    <cellStyle name="Normal 3" xfId="46" xr:uid="{00000000-0005-0000-0000-00002E000000}"/>
    <cellStyle name="Note" xfId="47" builtinId="10" customBuiltin="1"/>
    <cellStyle name="Note 2" xfId="48" xr:uid="{00000000-0005-0000-0000-000030000000}"/>
    <cellStyle name="Note 3" xfId="49" xr:uid="{00000000-0005-0000-0000-000031000000}"/>
    <cellStyle name="Note 4" xfId="50" xr:uid="{00000000-0005-0000-0000-000032000000}"/>
    <cellStyle name="Output" xfId="51" builtinId="21" customBuiltin="1"/>
    <cellStyle name="Percent" xfId="52" builtinId="5"/>
    <cellStyle name="Percent 2" xfId="53" xr:uid="{00000000-0005-0000-0000-000035000000}"/>
    <cellStyle name="Percent 3" xfId="54" xr:uid="{00000000-0005-0000-0000-000036000000}"/>
    <cellStyle name="Percent 4" xfId="55" xr:uid="{00000000-0005-0000-0000-000037000000}"/>
    <cellStyle name="Standard 2" xfId="56" xr:uid="{00000000-0005-0000-0000-000038000000}"/>
    <cellStyle name="Title" xfId="57" builtinId="15" customBuiltin="1"/>
    <cellStyle name="Total" xfId="58" builtinId="25" customBuiltin="1"/>
    <cellStyle name="Währung 2" xfId="59" xr:uid="{00000000-0005-0000-0000-00003B000000}"/>
    <cellStyle name="Warning Text" xfId="60"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editAs="oneCell">
    <xdr:from>
      <xdr:col>3</xdr:col>
      <xdr:colOff>571500</xdr:colOff>
      <xdr:row>0</xdr:row>
      <xdr:rowOff>0</xdr:rowOff>
    </xdr:from>
    <xdr:to>
      <xdr:col>5</xdr:col>
      <xdr:colOff>1590676</xdr:colOff>
      <xdr:row>4</xdr:row>
      <xdr:rowOff>215864</xdr:rowOff>
    </xdr:to>
    <xdr:pic>
      <xdr:nvPicPr>
        <xdr:cNvPr id="3" name="Picture 2">
          <a:extLst>
            <a:ext uri="{FF2B5EF4-FFF2-40B4-BE49-F238E27FC236}">
              <a16:creationId xmlns:a16="http://schemas.microsoft.com/office/drawing/2014/main" id="{4F81CAAA-C911-420D-8525-E7ABC59D9C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0" y="0"/>
          <a:ext cx="3152776" cy="8635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135105</xdr:colOff>
      <xdr:row>3</xdr:row>
      <xdr:rowOff>63500</xdr:rowOff>
    </xdr:to>
    <xdr:pic>
      <xdr:nvPicPr>
        <xdr:cNvPr id="3" name="Picture 2">
          <a:hlinkClick xmlns:r="http://schemas.openxmlformats.org/officeDocument/2006/relationships" r:id="rId1"/>
          <a:extLst>
            <a:ext uri="{FF2B5EF4-FFF2-40B4-BE49-F238E27FC236}">
              <a16:creationId xmlns:a16="http://schemas.microsoft.com/office/drawing/2014/main" id="{9EEAE9F9-FFDC-4B25-84D2-3E274F46D073}"/>
            </a:ext>
          </a:extLst>
        </xdr:cNvPr>
        <xdr:cNvPicPr>
          <a:picLocks noChangeAspect="1"/>
        </xdr:cNvPicPr>
      </xdr:nvPicPr>
      <xdr:blipFill>
        <a:blip xmlns:r="http://schemas.openxmlformats.org/officeDocument/2006/relationships" r:embed="rId2"/>
        <a:stretch>
          <a:fillRect/>
        </a:stretch>
      </xdr:blipFill>
      <xdr:spPr>
        <a:xfrm>
          <a:off x="6571863" y="116417"/>
          <a:ext cx="918659" cy="50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135105</xdr:colOff>
      <xdr:row>3</xdr:row>
      <xdr:rowOff>63500</xdr:rowOff>
    </xdr:to>
    <xdr:pic>
      <xdr:nvPicPr>
        <xdr:cNvPr id="2" name="Picture 1">
          <a:hlinkClick xmlns:r="http://schemas.openxmlformats.org/officeDocument/2006/relationships" r:id="rId1"/>
          <a:extLst>
            <a:ext uri="{FF2B5EF4-FFF2-40B4-BE49-F238E27FC236}">
              <a16:creationId xmlns:a16="http://schemas.microsoft.com/office/drawing/2014/main" id="{69BC1748-4B38-4AFC-A35E-71B36546F969}"/>
            </a:ext>
          </a:extLst>
        </xdr:cNvPr>
        <xdr:cNvPicPr>
          <a:picLocks noChangeAspect="1"/>
        </xdr:cNvPicPr>
      </xdr:nvPicPr>
      <xdr:blipFill>
        <a:blip xmlns:r="http://schemas.openxmlformats.org/officeDocument/2006/relationships" r:embed="rId2"/>
        <a:stretch>
          <a:fillRect/>
        </a:stretch>
      </xdr:blipFill>
      <xdr:spPr>
        <a:xfrm>
          <a:off x="6568688" y="116417"/>
          <a:ext cx="910192" cy="50905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135105</xdr:colOff>
      <xdr:row>3</xdr:row>
      <xdr:rowOff>63500</xdr:rowOff>
    </xdr:to>
    <xdr:pic>
      <xdr:nvPicPr>
        <xdr:cNvPr id="2" name="Picture 1">
          <a:hlinkClick xmlns:r="http://schemas.openxmlformats.org/officeDocument/2006/relationships" r:id="rId1"/>
          <a:extLst>
            <a:ext uri="{FF2B5EF4-FFF2-40B4-BE49-F238E27FC236}">
              <a16:creationId xmlns:a16="http://schemas.microsoft.com/office/drawing/2014/main" id="{EF648455-6500-4373-AD89-1271EA6732BC}"/>
            </a:ext>
          </a:extLst>
        </xdr:cNvPr>
        <xdr:cNvPicPr>
          <a:picLocks noChangeAspect="1"/>
        </xdr:cNvPicPr>
      </xdr:nvPicPr>
      <xdr:blipFill>
        <a:blip xmlns:r="http://schemas.openxmlformats.org/officeDocument/2006/relationships" r:embed="rId2"/>
        <a:stretch>
          <a:fillRect/>
        </a:stretch>
      </xdr:blipFill>
      <xdr:spPr>
        <a:xfrm>
          <a:off x="6568688" y="116417"/>
          <a:ext cx="910192" cy="50905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135105</xdr:colOff>
      <xdr:row>3</xdr:row>
      <xdr:rowOff>63500</xdr:rowOff>
    </xdr:to>
    <xdr:pic>
      <xdr:nvPicPr>
        <xdr:cNvPr id="2" name="Picture 1">
          <a:hlinkClick xmlns:r="http://schemas.openxmlformats.org/officeDocument/2006/relationships" r:id="rId1"/>
          <a:extLst>
            <a:ext uri="{FF2B5EF4-FFF2-40B4-BE49-F238E27FC236}">
              <a16:creationId xmlns:a16="http://schemas.microsoft.com/office/drawing/2014/main" id="{FB47ED33-89B6-454F-90A6-A84C58C30A54}"/>
            </a:ext>
          </a:extLst>
        </xdr:cNvPr>
        <xdr:cNvPicPr>
          <a:picLocks noChangeAspect="1"/>
        </xdr:cNvPicPr>
      </xdr:nvPicPr>
      <xdr:blipFill>
        <a:blip xmlns:r="http://schemas.openxmlformats.org/officeDocument/2006/relationships" r:embed="rId2"/>
        <a:stretch>
          <a:fillRect/>
        </a:stretch>
      </xdr:blipFill>
      <xdr:spPr>
        <a:xfrm>
          <a:off x="6568688" y="116417"/>
          <a:ext cx="910192" cy="5090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135105</xdr:colOff>
      <xdr:row>3</xdr:row>
      <xdr:rowOff>63500</xdr:rowOff>
    </xdr:to>
    <xdr:pic>
      <xdr:nvPicPr>
        <xdr:cNvPr id="2" name="Picture 1">
          <a:hlinkClick xmlns:r="http://schemas.openxmlformats.org/officeDocument/2006/relationships" r:id="rId1"/>
          <a:extLst>
            <a:ext uri="{FF2B5EF4-FFF2-40B4-BE49-F238E27FC236}">
              <a16:creationId xmlns:a16="http://schemas.microsoft.com/office/drawing/2014/main" id="{FEF1F411-3AA5-4056-9E90-3F63FB44F08E}"/>
            </a:ext>
          </a:extLst>
        </xdr:cNvPr>
        <xdr:cNvPicPr>
          <a:picLocks noChangeAspect="1"/>
        </xdr:cNvPicPr>
      </xdr:nvPicPr>
      <xdr:blipFill>
        <a:blip xmlns:r="http://schemas.openxmlformats.org/officeDocument/2006/relationships" r:embed="rId2"/>
        <a:stretch>
          <a:fillRect/>
        </a:stretch>
      </xdr:blipFill>
      <xdr:spPr>
        <a:xfrm>
          <a:off x="6568688" y="116417"/>
          <a:ext cx="910192" cy="50905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135105</xdr:colOff>
      <xdr:row>3</xdr:row>
      <xdr:rowOff>25400</xdr:rowOff>
    </xdr:to>
    <xdr:pic>
      <xdr:nvPicPr>
        <xdr:cNvPr id="2" name="Picture 1">
          <a:hlinkClick xmlns:r="http://schemas.openxmlformats.org/officeDocument/2006/relationships" r:id="rId1"/>
          <a:extLst>
            <a:ext uri="{FF2B5EF4-FFF2-40B4-BE49-F238E27FC236}">
              <a16:creationId xmlns:a16="http://schemas.microsoft.com/office/drawing/2014/main" id="{4A2C1809-FE1C-4B09-9573-34A210198A48}"/>
            </a:ext>
          </a:extLst>
        </xdr:cNvPr>
        <xdr:cNvPicPr>
          <a:picLocks noChangeAspect="1"/>
        </xdr:cNvPicPr>
      </xdr:nvPicPr>
      <xdr:blipFill>
        <a:blip xmlns:r="http://schemas.openxmlformats.org/officeDocument/2006/relationships" r:embed="rId2"/>
        <a:stretch>
          <a:fillRect/>
        </a:stretch>
      </xdr:blipFill>
      <xdr:spPr>
        <a:xfrm>
          <a:off x="7187813" y="116417"/>
          <a:ext cx="910192" cy="5090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135105</xdr:colOff>
      <xdr:row>3</xdr:row>
      <xdr:rowOff>63500</xdr:rowOff>
    </xdr:to>
    <xdr:pic>
      <xdr:nvPicPr>
        <xdr:cNvPr id="2" name="Picture 1">
          <a:hlinkClick xmlns:r="http://schemas.openxmlformats.org/officeDocument/2006/relationships" r:id="rId1"/>
          <a:extLst>
            <a:ext uri="{FF2B5EF4-FFF2-40B4-BE49-F238E27FC236}">
              <a16:creationId xmlns:a16="http://schemas.microsoft.com/office/drawing/2014/main" id="{C38293D2-9385-4862-A80B-3466F12DE8A6}"/>
            </a:ext>
          </a:extLst>
        </xdr:cNvPr>
        <xdr:cNvPicPr>
          <a:picLocks noChangeAspect="1"/>
        </xdr:cNvPicPr>
      </xdr:nvPicPr>
      <xdr:blipFill>
        <a:blip xmlns:r="http://schemas.openxmlformats.org/officeDocument/2006/relationships" r:embed="rId2"/>
        <a:stretch>
          <a:fillRect/>
        </a:stretch>
      </xdr:blipFill>
      <xdr:spPr>
        <a:xfrm>
          <a:off x="6568688" y="116417"/>
          <a:ext cx="910192" cy="50905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135105</xdr:colOff>
      <xdr:row>3</xdr:row>
      <xdr:rowOff>25400</xdr:rowOff>
    </xdr:to>
    <xdr:pic>
      <xdr:nvPicPr>
        <xdr:cNvPr id="2" name="Picture 1">
          <a:hlinkClick xmlns:r="http://schemas.openxmlformats.org/officeDocument/2006/relationships" r:id="rId1"/>
          <a:extLst>
            <a:ext uri="{FF2B5EF4-FFF2-40B4-BE49-F238E27FC236}">
              <a16:creationId xmlns:a16="http://schemas.microsoft.com/office/drawing/2014/main" id="{D8A08A03-58BC-4DD3-A14F-C67AED932EEC}"/>
            </a:ext>
          </a:extLst>
        </xdr:cNvPr>
        <xdr:cNvPicPr>
          <a:picLocks noChangeAspect="1"/>
        </xdr:cNvPicPr>
      </xdr:nvPicPr>
      <xdr:blipFill>
        <a:blip xmlns:r="http://schemas.openxmlformats.org/officeDocument/2006/relationships" r:embed="rId2"/>
        <a:stretch>
          <a:fillRect/>
        </a:stretch>
      </xdr:blipFill>
      <xdr:spPr>
        <a:xfrm>
          <a:off x="7187813" y="116417"/>
          <a:ext cx="910192" cy="50905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135105</xdr:colOff>
      <xdr:row>3</xdr:row>
      <xdr:rowOff>63500</xdr:rowOff>
    </xdr:to>
    <xdr:pic>
      <xdr:nvPicPr>
        <xdr:cNvPr id="4" name="Picture 3">
          <a:hlinkClick xmlns:r="http://schemas.openxmlformats.org/officeDocument/2006/relationships" r:id="rId1"/>
          <a:extLst>
            <a:ext uri="{FF2B5EF4-FFF2-40B4-BE49-F238E27FC236}">
              <a16:creationId xmlns:a16="http://schemas.microsoft.com/office/drawing/2014/main" id="{00D638E6-0F86-40BB-B54A-A7CB59711C45}"/>
            </a:ext>
          </a:extLst>
        </xdr:cNvPr>
        <xdr:cNvPicPr>
          <a:picLocks noChangeAspect="1"/>
        </xdr:cNvPicPr>
      </xdr:nvPicPr>
      <xdr:blipFill>
        <a:blip xmlns:r="http://schemas.openxmlformats.org/officeDocument/2006/relationships" r:embed="rId2"/>
        <a:stretch>
          <a:fillRect/>
        </a:stretch>
      </xdr:blipFill>
      <xdr:spPr>
        <a:xfrm>
          <a:off x="6568688" y="116417"/>
          <a:ext cx="910192" cy="5090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135105</xdr:colOff>
      <xdr:row>3</xdr:row>
      <xdr:rowOff>25400</xdr:rowOff>
    </xdr:to>
    <xdr:pic>
      <xdr:nvPicPr>
        <xdr:cNvPr id="2" name="Picture 1">
          <a:hlinkClick xmlns:r="http://schemas.openxmlformats.org/officeDocument/2006/relationships" r:id="rId1"/>
          <a:extLst>
            <a:ext uri="{FF2B5EF4-FFF2-40B4-BE49-F238E27FC236}">
              <a16:creationId xmlns:a16="http://schemas.microsoft.com/office/drawing/2014/main" id="{5398DB7C-776B-4EE2-B8A8-1CFA7AA9A0A4}"/>
            </a:ext>
          </a:extLst>
        </xdr:cNvPr>
        <xdr:cNvPicPr>
          <a:picLocks noChangeAspect="1"/>
        </xdr:cNvPicPr>
      </xdr:nvPicPr>
      <xdr:blipFill>
        <a:blip xmlns:r="http://schemas.openxmlformats.org/officeDocument/2006/relationships" r:embed="rId2"/>
        <a:stretch>
          <a:fillRect/>
        </a:stretch>
      </xdr:blipFill>
      <xdr:spPr>
        <a:xfrm>
          <a:off x="7187813" y="116417"/>
          <a:ext cx="910192" cy="50905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135105</xdr:colOff>
      <xdr:row>3</xdr:row>
      <xdr:rowOff>63500</xdr:rowOff>
    </xdr:to>
    <xdr:pic>
      <xdr:nvPicPr>
        <xdr:cNvPr id="2" name="Picture 1">
          <a:hlinkClick xmlns:r="http://schemas.openxmlformats.org/officeDocument/2006/relationships" r:id="rId1"/>
          <a:extLst>
            <a:ext uri="{FF2B5EF4-FFF2-40B4-BE49-F238E27FC236}">
              <a16:creationId xmlns:a16="http://schemas.microsoft.com/office/drawing/2014/main" id="{99824A7B-5F68-4EBC-9743-FF4B42D73901}"/>
            </a:ext>
          </a:extLst>
        </xdr:cNvPr>
        <xdr:cNvPicPr>
          <a:picLocks noChangeAspect="1"/>
        </xdr:cNvPicPr>
      </xdr:nvPicPr>
      <xdr:blipFill>
        <a:blip xmlns:r="http://schemas.openxmlformats.org/officeDocument/2006/relationships" r:embed="rId2"/>
        <a:stretch>
          <a:fillRect/>
        </a:stretch>
      </xdr:blipFill>
      <xdr:spPr>
        <a:xfrm>
          <a:off x="6568688" y="116417"/>
          <a:ext cx="910192" cy="50905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135105</xdr:colOff>
      <xdr:row>3</xdr:row>
      <xdr:rowOff>25400</xdr:rowOff>
    </xdr:to>
    <xdr:pic>
      <xdr:nvPicPr>
        <xdr:cNvPr id="2" name="Picture 1">
          <a:hlinkClick xmlns:r="http://schemas.openxmlformats.org/officeDocument/2006/relationships" r:id="rId1"/>
          <a:extLst>
            <a:ext uri="{FF2B5EF4-FFF2-40B4-BE49-F238E27FC236}">
              <a16:creationId xmlns:a16="http://schemas.microsoft.com/office/drawing/2014/main" id="{092739EB-1A99-4FAB-AEAB-DAD00F02A6DF}"/>
            </a:ext>
          </a:extLst>
        </xdr:cNvPr>
        <xdr:cNvPicPr>
          <a:picLocks noChangeAspect="1"/>
        </xdr:cNvPicPr>
      </xdr:nvPicPr>
      <xdr:blipFill>
        <a:blip xmlns:r="http://schemas.openxmlformats.org/officeDocument/2006/relationships" r:embed="rId2"/>
        <a:stretch>
          <a:fillRect/>
        </a:stretch>
      </xdr:blipFill>
      <xdr:spPr>
        <a:xfrm>
          <a:off x="7187813" y="116417"/>
          <a:ext cx="910192" cy="50905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501263</xdr:colOff>
      <xdr:row>0</xdr:row>
      <xdr:rowOff>116417</xdr:rowOff>
    </xdr:from>
    <xdr:to>
      <xdr:col>11</xdr:col>
      <xdr:colOff>77954</xdr:colOff>
      <xdr:row>3</xdr:row>
      <xdr:rowOff>58245</xdr:rowOff>
    </xdr:to>
    <xdr:pic>
      <xdr:nvPicPr>
        <xdr:cNvPr id="2" name="Picture 1">
          <a:hlinkClick xmlns:r="http://schemas.openxmlformats.org/officeDocument/2006/relationships" r:id="rId1"/>
          <a:extLst>
            <a:ext uri="{FF2B5EF4-FFF2-40B4-BE49-F238E27FC236}">
              <a16:creationId xmlns:a16="http://schemas.microsoft.com/office/drawing/2014/main" id="{AEC4C667-683A-4350-BED4-05D831116E4D}"/>
            </a:ext>
          </a:extLst>
        </xdr:cNvPr>
        <xdr:cNvPicPr>
          <a:picLocks noChangeAspect="1"/>
        </xdr:cNvPicPr>
      </xdr:nvPicPr>
      <xdr:blipFill>
        <a:blip xmlns:r="http://schemas.openxmlformats.org/officeDocument/2006/relationships" r:embed="rId2"/>
        <a:stretch>
          <a:fillRect/>
        </a:stretch>
      </xdr:blipFill>
      <xdr:spPr>
        <a:xfrm>
          <a:off x="7197338" y="116417"/>
          <a:ext cx="795891" cy="50380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501263</xdr:colOff>
      <xdr:row>0</xdr:row>
      <xdr:rowOff>116417</xdr:rowOff>
    </xdr:from>
    <xdr:to>
      <xdr:col>11</xdr:col>
      <xdr:colOff>77954</xdr:colOff>
      <xdr:row>3</xdr:row>
      <xdr:rowOff>58245</xdr:rowOff>
    </xdr:to>
    <xdr:pic>
      <xdr:nvPicPr>
        <xdr:cNvPr id="2" name="Picture 1">
          <a:hlinkClick xmlns:r="http://schemas.openxmlformats.org/officeDocument/2006/relationships" r:id="rId1"/>
          <a:extLst>
            <a:ext uri="{FF2B5EF4-FFF2-40B4-BE49-F238E27FC236}">
              <a16:creationId xmlns:a16="http://schemas.microsoft.com/office/drawing/2014/main" id="{6997F155-31E9-4435-858B-ACF6E5D58C67}"/>
            </a:ext>
          </a:extLst>
        </xdr:cNvPr>
        <xdr:cNvPicPr>
          <a:picLocks noChangeAspect="1"/>
        </xdr:cNvPicPr>
      </xdr:nvPicPr>
      <xdr:blipFill>
        <a:blip xmlns:r="http://schemas.openxmlformats.org/officeDocument/2006/relationships" r:embed="rId2"/>
        <a:stretch>
          <a:fillRect/>
        </a:stretch>
      </xdr:blipFill>
      <xdr:spPr>
        <a:xfrm>
          <a:off x="7197338" y="116417"/>
          <a:ext cx="795891" cy="50380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501263</xdr:colOff>
      <xdr:row>0</xdr:row>
      <xdr:rowOff>116417</xdr:rowOff>
    </xdr:from>
    <xdr:to>
      <xdr:col>11</xdr:col>
      <xdr:colOff>77954</xdr:colOff>
      <xdr:row>3</xdr:row>
      <xdr:rowOff>58245</xdr:rowOff>
    </xdr:to>
    <xdr:pic>
      <xdr:nvPicPr>
        <xdr:cNvPr id="2" name="Picture 1">
          <a:hlinkClick xmlns:r="http://schemas.openxmlformats.org/officeDocument/2006/relationships" r:id="rId1"/>
          <a:extLst>
            <a:ext uri="{FF2B5EF4-FFF2-40B4-BE49-F238E27FC236}">
              <a16:creationId xmlns:a16="http://schemas.microsoft.com/office/drawing/2014/main" id="{5B89BAA7-E8CE-4E7C-A9FD-2234E18ABB16}"/>
            </a:ext>
          </a:extLst>
        </xdr:cNvPr>
        <xdr:cNvPicPr>
          <a:picLocks noChangeAspect="1"/>
        </xdr:cNvPicPr>
      </xdr:nvPicPr>
      <xdr:blipFill>
        <a:blip xmlns:r="http://schemas.openxmlformats.org/officeDocument/2006/relationships" r:embed="rId2"/>
        <a:stretch>
          <a:fillRect/>
        </a:stretch>
      </xdr:blipFill>
      <xdr:spPr>
        <a:xfrm>
          <a:off x="7197338" y="116417"/>
          <a:ext cx="795891" cy="50380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77954</xdr:colOff>
      <xdr:row>3</xdr:row>
      <xdr:rowOff>58245</xdr:rowOff>
    </xdr:to>
    <xdr:pic>
      <xdr:nvPicPr>
        <xdr:cNvPr id="2" name="Picture 1">
          <a:hlinkClick xmlns:r="http://schemas.openxmlformats.org/officeDocument/2006/relationships" r:id="rId1"/>
          <a:extLst>
            <a:ext uri="{FF2B5EF4-FFF2-40B4-BE49-F238E27FC236}">
              <a16:creationId xmlns:a16="http://schemas.microsoft.com/office/drawing/2014/main" id="{B482B0BB-9D23-4833-9C17-4F8F5BF849B9}"/>
            </a:ext>
          </a:extLst>
        </xdr:cNvPr>
        <xdr:cNvPicPr>
          <a:picLocks noChangeAspect="1"/>
        </xdr:cNvPicPr>
      </xdr:nvPicPr>
      <xdr:blipFill>
        <a:blip xmlns:r="http://schemas.openxmlformats.org/officeDocument/2006/relationships" r:embed="rId2"/>
        <a:stretch>
          <a:fillRect/>
        </a:stretch>
      </xdr:blipFill>
      <xdr:spPr>
        <a:xfrm>
          <a:off x="7111613" y="116417"/>
          <a:ext cx="853041" cy="503803"/>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47625</xdr:colOff>
      <xdr:row>40</xdr:row>
      <xdr:rowOff>142875</xdr:rowOff>
    </xdr:from>
    <xdr:to>
      <xdr:col>11</xdr:col>
      <xdr:colOff>19050</xdr:colOff>
      <xdr:row>42</xdr:row>
      <xdr:rowOff>66675</xdr:rowOff>
    </xdr:to>
    <xdr:sp macro="" textlink="">
      <xdr:nvSpPr>
        <xdr:cNvPr id="2" name="Right Arrow 2">
          <a:extLst>
            <a:ext uri="{FF2B5EF4-FFF2-40B4-BE49-F238E27FC236}">
              <a16:creationId xmlns:a16="http://schemas.microsoft.com/office/drawing/2014/main" id="{9154FE22-4055-4F96-80FC-4898FF363DD7}"/>
            </a:ext>
          </a:extLst>
        </xdr:cNvPr>
        <xdr:cNvSpPr/>
      </xdr:nvSpPr>
      <xdr:spPr>
        <a:xfrm>
          <a:off x="7058025" y="4829175"/>
          <a:ext cx="581025" cy="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editAs="oneCell">
    <xdr:from>
      <xdr:col>9</xdr:col>
      <xdr:colOff>489328</xdr:colOff>
      <xdr:row>0</xdr:row>
      <xdr:rowOff>116417</xdr:rowOff>
    </xdr:from>
    <xdr:to>
      <xdr:col>11</xdr:col>
      <xdr:colOff>123825</xdr:colOff>
      <xdr:row>3</xdr:row>
      <xdr:rowOff>58245</xdr:rowOff>
    </xdr:to>
    <xdr:pic>
      <xdr:nvPicPr>
        <xdr:cNvPr id="3" name="Picture 2">
          <a:hlinkClick xmlns:r="http://schemas.openxmlformats.org/officeDocument/2006/relationships" r:id="rId1"/>
          <a:extLst>
            <a:ext uri="{FF2B5EF4-FFF2-40B4-BE49-F238E27FC236}">
              <a16:creationId xmlns:a16="http://schemas.microsoft.com/office/drawing/2014/main" id="{516D3736-9E82-4D1D-ABCB-F0A40CDFD3F9}"/>
            </a:ext>
          </a:extLst>
        </xdr:cNvPr>
        <xdr:cNvPicPr>
          <a:picLocks noChangeAspect="1"/>
        </xdr:cNvPicPr>
      </xdr:nvPicPr>
      <xdr:blipFill>
        <a:blip xmlns:r="http://schemas.openxmlformats.org/officeDocument/2006/relationships" r:embed="rId2"/>
        <a:stretch>
          <a:fillRect/>
        </a:stretch>
      </xdr:blipFill>
      <xdr:spPr>
        <a:xfrm>
          <a:off x="6890128" y="116417"/>
          <a:ext cx="853697" cy="50380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10</xdr:col>
      <xdr:colOff>47625</xdr:colOff>
      <xdr:row>40</xdr:row>
      <xdr:rowOff>142875</xdr:rowOff>
    </xdr:from>
    <xdr:to>
      <xdr:col>11</xdr:col>
      <xdr:colOff>19050</xdr:colOff>
      <xdr:row>42</xdr:row>
      <xdr:rowOff>66675</xdr:rowOff>
    </xdr:to>
    <xdr:sp macro="" textlink="">
      <xdr:nvSpPr>
        <xdr:cNvPr id="2" name="Right Arrow 2">
          <a:extLst>
            <a:ext uri="{FF2B5EF4-FFF2-40B4-BE49-F238E27FC236}">
              <a16:creationId xmlns:a16="http://schemas.microsoft.com/office/drawing/2014/main" id="{3B9FC3D1-8A89-45CC-86E8-EC6D52B1597F}"/>
            </a:ext>
          </a:extLst>
        </xdr:cNvPr>
        <xdr:cNvSpPr/>
      </xdr:nvSpPr>
      <xdr:spPr>
        <a:xfrm>
          <a:off x="7058025" y="4829175"/>
          <a:ext cx="581025" cy="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editAs="oneCell">
    <xdr:from>
      <xdr:col>9</xdr:col>
      <xdr:colOff>489328</xdr:colOff>
      <xdr:row>0</xdr:row>
      <xdr:rowOff>116417</xdr:rowOff>
    </xdr:from>
    <xdr:to>
      <xdr:col>11</xdr:col>
      <xdr:colOff>123825</xdr:colOff>
      <xdr:row>3</xdr:row>
      <xdr:rowOff>58245</xdr:rowOff>
    </xdr:to>
    <xdr:pic>
      <xdr:nvPicPr>
        <xdr:cNvPr id="3" name="Picture 2">
          <a:hlinkClick xmlns:r="http://schemas.openxmlformats.org/officeDocument/2006/relationships" r:id="rId1"/>
          <a:extLst>
            <a:ext uri="{FF2B5EF4-FFF2-40B4-BE49-F238E27FC236}">
              <a16:creationId xmlns:a16="http://schemas.microsoft.com/office/drawing/2014/main" id="{056603BA-5B54-4F90-90AD-B1D70D48603B}"/>
            </a:ext>
          </a:extLst>
        </xdr:cNvPr>
        <xdr:cNvPicPr>
          <a:picLocks noChangeAspect="1"/>
        </xdr:cNvPicPr>
      </xdr:nvPicPr>
      <xdr:blipFill>
        <a:blip xmlns:r="http://schemas.openxmlformats.org/officeDocument/2006/relationships" r:embed="rId2"/>
        <a:stretch>
          <a:fillRect/>
        </a:stretch>
      </xdr:blipFill>
      <xdr:spPr>
        <a:xfrm>
          <a:off x="6890128" y="116417"/>
          <a:ext cx="853697" cy="50380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142327</xdr:colOff>
      <xdr:row>3</xdr:row>
      <xdr:rowOff>58245</xdr:rowOff>
    </xdr:to>
    <xdr:pic>
      <xdr:nvPicPr>
        <xdr:cNvPr id="2" name="Picture 1">
          <a:hlinkClick xmlns:r="http://schemas.openxmlformats.org/officeDocument/2006/relationships" r:id="rId1"/>
          <a:extLst>
            <a:ext uri="{FF2B5EF4-FFF2-40B4-BE49-F238E27FC236}">
              <a16:creationId xmlns:a16="http://schemas.microsoft.com/office/drawing/2014/main" id="{56B8C95D-AACE-45F1-9456-216D0E1F4502}"/>
            </a:ext>
          </a:extLst>
        </xdr:cNvPr>
        <xdr:cNvPicPr>
          <a:picLocks noChangeAspect="1"/>
        </xdr:cNvPicPr>
      </xdr:nvPicPr>
      <xdr:blipFill>
        <a:blip xmlns:r="http://schemas.openxmlformats.org/officeDocument/2006/relationships" r:embed="rId2"/>
        <a:stretch>
          <a:fillRect/>
        </a:stretch>
      </xdr:blipFill>
      <xdr:spPr>
        <a:xfrm>
          <a:off x="7225913" y="116417"/>
          <a:ext cx="917414" cy="50380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77954</xdr:colOff>
      <xdr:row>3</xdr:row>
      <xdr:rowOff>58245</xdr:rowOff>
    </xdr:to>
    <xdr:pic>
      <xdr:nvPicPr>
        <xdr:cNvPr id="2" name="Picture 1">
          <a:hlinkClick xmlns:r="http://schemas.openxmlformats.org/officeDocument/2006/relationships" r:id="rId1"/>
          <a:extLst>
            <a:ext uri="{FF2B5EF4-FFF2-40B4-BE49-F238E27FC236}">
              <a16:creationId xmlns:a16="http://schemas.microsoft.com/office/drawing/2014/main" id="{EF6E3B1C-AAF4-48B1-9EBF-EE66E49AC199}"/>
            </a:ext>
          </a:extLst>
        </xdr:cNvPr>
        <xdr:cNvPicPr>
          <a:picLocks noChangeAspect="1"/>
        </xdr:cNvPicPr>
      </xdr:nvPicPr>
      <xdr:blipFill>
        <a:blip xmlns:r="http://schemas.openxmlformats.org/officeDocument/2006/relationships" r:embed="rId2"/>
        <a:stretch>
          <a:fillRect/>
        </a:stretch>
      </xdr:blipFill>
      <xdr:spPr>
        <a:xfrm>
          <a:off x="7025888" y="116417"/>
          <a:ext cx="853041" cy="503803"/>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77954</xdr:colOff>
      <xdr:row>3</xdr:row>
      <xdr:rowOff>20145</xdr:rowOff>
    </xdr:to>
    <xdr:pic>
      <xdr:nvPicPr>
        <xdr:cNvPr id="2" name="Picture 1">
          <a:hlinkClick xmlns:r="http://schemas.openxmlformats.org/officeDocument/2006/relationships" r:id="rId1"/>
          <a:extLst>
            <a:ext uri="{FF2B5EF4-FFF2-40B4-BE49-F238E27FC236}">
              <a16:creationId xmlns:a16="http://schemas.microsoft.com/office/drawing/2014/main" id="{7615021D-3927-4FC5-A6E9-76DCF8468943}"/>
            </a:ext>
          </a:extLst>
        </xdr:cNvPr>
        <xdr:cNvPicPr>
          <a:picLocks noChangeAspect="1"/>
        </xdr:cNvPicPr>
      </xdr:nvPicPr>
      <xdr:blipFill>
        <a:blip xmlns:r="http://schemas.openxmlformats.org/officeDocument/2006/relationships" r:embed="rId2"/>
        <a:stretch>
          <a:fillRect/>
        </a:stretch>
      </xdr:blipFill>
      <xdr:spPr>
        <a:xfrm>
          <a:off x="7025888" y="116417"/>
          <a:ext cx="853041" cy="503803"/>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77954</xdr:colOff>
      <xdr:row>3</xdr:row>
      <xdr:rowOff>134445</xdr:rowOff>
    </xdr:to>
    <xdr:pic>
      <xdr:nvPicPr>
        <xdr:cNvPr id="3" name="Picture 2">
          <a:hlinkClick xmlns:r="http://schemas.openxmlformats.org/officeDocument/2006/relationships" r:id="rId1"/>
          <a:extLst>
            <a:ext uri="{FF2B5EF4-FFF2-40B4-BE49-F238E27FC236}">
              <a16:creationId xmlns:a16="http://schemas.microsoft.com/office/drawing/2014/main" id="{AB8BCDA3-9143-4AA5-8E33-76DF534A349B}"/>
            </a:ext>
          </a:extLst>
        </xdr:cNvPr>
        <xdr:cNvPicPr>
          <a:picLocks noChangeAspect="1"/>
        </xdr:cNvPicPr>
      </xdr:nvPicPr>
      <xdr:blipFill>
        <a:blip xmlns:r="http://schemas.openxmlformats.org/officeDocument/2006/relationships" r:embed="rId2"/>
        <a:stretch>
          <a:fillRect/>
        </a:stretch>
      </xdr:blipFill>
      <xdr:spPr>
        <a:xfrm>
          <a:off x="7025888" y="116417"/>
          <a:ext cx="853041" cy="503803"/>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77954</xdr:colOff>
      <xdr:row>3</xdr:row>
      <xdr:rowOff>134445</xdr:rowOff>
    </xdr:to>
    <xdr:pic>
      <xdr:nvPicPr>
        <xdr:cNvPr id="3" name="Picture 2">
          <a:hlinkClick xmlns:r="http://schemas.openxmlformats.org/officeDocument/2006/relationships" r:id="rId1"/>
          <a:extLst>
            <a:ext uri="{FF2B5EF4-FFF2-40B4-BE49-F238E27FC236}">
              <a16:creationId xmlns:a16="http://schemas.microsoft.com/office/drawing/2014/main" id="{FA61BCA8-594C-4646-94D1-3FABB9BEF5E9}"/>
            </a:ext>
          </a:extLst>
        </xdr:cNvPr>
        <xdr:cNvPicPr>
          <a:picLocks noChangeAspect="1"/>
        </xdr:cNvPicPr>
      </xdr:nvPicPr>
      <xdr:blipFill>
        <a:blip xmlns:r="http://schemas.openxmlformats.org/officeDocument/2006/relationships" r:embed="rId2"/>
        <a:stretch>
          <a:fillRect/>
        </a:stretch>
      </xdr:blipFill>
      <xdr:spPr>
        <a:xfrm>
          <a:off x="7025888" y="116417"/>
          <a:ext cx="853041" cy="503803"/>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77954</xdr:colOff>
      <xdr:row>3</xdr:row>
      <xdr:rowOff>134445</xdr:rowOff>
    </xdr:to>
    <xdr:pic>
      <xdr:nvPicPr>
        <xdr:cNvPr id="3" name="Picture 2">
          <a:hlinkClick xmlns:r="http://schemas.openxmlformats.org/officeDocument/2006/relationships" r:id="rId1"/>
          <a:extLst>
            <a:ext uri="{FF2B5EF4-FFF2-40B4-BE49-F238E27FC236}">
              <a16:creationId xmlns:a16="http://schemas.microsoft.com/office/drawing/2014/main" id="{F78424FF-54C7-4DD1-8B3C-5AF6A8520B20}"/>
            </a:ext>
          </a:extLst>
        </xdr:cNvPr>
        <xdr:cNvPicPr>
          <a:picLocks noChangeAspect="1"/>
        </xdr:cNvPicPr>
      </xdr:nvPicPr>
      <xdr:blipFill>
        <a:blip xmlns:r="http://schemas.openxmlformats.org/officeDocument/2006/relationships" r:embed="rId2"/>
        <a:stretch>
          <a:fillRect/>
        </a:stretch>
      </xdr:blipFill>
      <xdr:spPr>
        <a:xfrm>
          <a:off x="7025888" y="116417"/>
          <a:ext cx="853041" cy="503803"/>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77954</xdr:colOff>
      <xdr:row>3</xdr:row>
      <xdr:rowOff>134445</xdr:rowOff>
    </xdr:to>
    <xdr:pic>
      <xdr:nvPicPr>
        <xdr:cNvPr id="3" name="Picture 2">
          <a:hlinkClick xmlns:r="http://schemas.openxmlformats.org/officeDocument/2006/relationships" r:id="rId1"/>
          <a:extLst>
            <a:ext uri="{FF2B5EF4-FFF2-40B4-BE49-F238E27FC236}">
              <a16:creationId xmlns:a16="http://schemas.microsoft.com/office/drawing/2014/main" id="{044B1C6F-0AFF-434F-9F19-8D39EE1D2F55}"/>
            </a:ext>
          </a:extLst>
        </xdr:cNvPr>
        <xdr:cNvPicPr>
          <a:picLocks noChangeAspect="1"/>
        </xdr:cNvPicPr>
      </xdr:nvPicPr>
      <xdr:blipFill>
        <a:blip xmlns:r="http://schemas.openxmlformats.org/officeDocument/2006/relationships" r:embed="rId2"/>
        <a:stretch>
          <a:fillRect/>
        </a:stretch>
      </xdr:blipFill>
      <xdr:spPr>
        <a:xfrm>
          <a:off x="7025888" y="116417"/>
          <a:ext cx="853041" cy="50380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77954</xdr:colOff>
      <xdr:row>3</xdr:row>
      <xdr:rowOff>58245</xdr:rowOff>
    </xdr:to>
    <xdr:pic>
      <xdr:nvPicPr>
        <xdr:cNvPr id="3" name="Picture 2">
          <a:hlinkClick xmlns:r="http://schemas.openxmlformats.org/officeDocument/2006/relationships" r:id="rId1"/>
          <a:extLst>
            <a:ext uri="{FF2B5EF4-FFF2-40B4-BE49-F238E27FC236}">
              <a16:creationId xmlns:a16="http://schemas.microsoft.com/office/drawing/2014/main" id="{FD69C435-7C28-4D20-B185-DFCB21EB1303}"/>
            </a:ext>
          </a:extLst>
        </xdr:cNvPr>
        <xdr:cNvPicPr>
          <a:picLocks noChangeAspect="1"/>
        </xdr:cNvPicPr>
      </xdr:nvPicPr>
      <xdr:blipFill>
        <a:blip xmlns:r="http://schemas.openxmlformats.org/officeDocument/2006/relationships" r:embed="rId2"/>
        <a:stretch>
          <a:fillRect/>
        </a:stretch>
      </xdr:blipFill>
      <xdr:spPr>
        <a:xfrm>
          <a:off x="7025888" y="116417"/>
          <a:ext cx="853041" cy="503803"/>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77954</xdr:colOff>
      <xdr:row>3</xdr:row>
      <xdr:rowOff>58245</xdr:rowOff>
    </xdr:to>
    <xdr:pic>
      <xdr:nvPicPr>
        <xdr:cNvPr id="2" name="Picture 1">
          <a:hlinkClick xmlns:r="http://schemas.openxmlformats.org/officeDocument/2006/relationships" r:id="rId1"/>
          <a:extLst>
            <a:ext uri="{FF2B5EF4-FFF2-40B4-BE49-F238E27FC236}">
              <a16:creationId xmlns:a16="http://schemas.microsoft.com/office/drawing/2014/main" id="{CBCA3487-1972-4D62-AAA6-0DDA2871667C}"/>
            </a:ext>
          </a:extLst>
        </xdr:cNvPr>
        <xdr:cNvPicPr>
          <a:picLocks noChangeAspect="1"/>
        </xdr:cNvPicPr>
      </xdr:nvPicPr>
      <xdr:blipFill>
        <a:blip xmlns:r="http://schemas.openxmlformats.org/officeDocument/2006/relationships" r:embed="rId2"/>
        <a:stretch>
          <a:fillRect/>
        </a:stretch>
      </xdr:blipFill>
      <xdr:spPr>
        <a:xfrm>
          <a:off x="7025888" y="116417"/>
          <a:ext cx="853041" cy="503803"/>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77954</xdr:colOff>
      <xdr:row>3</xdr:row>
      <xdr:rowOff>134445</xdr:rowOff>
    </xdr:to>
    <xdr:pic>
      <xdr:nvPicPr>
        <xdr:cNvPr id="3" name="Picture 2">
          <a:hlinkClick xmlns:r="http://schemas.openxmlformats.org/officeDocument/2006/relationships" r:id="rId1"/>
          <a:extLst>
            <a:ext uri="{FF2B5EF4-FFF2-40B4-BE49-F238E27FC236}">
              <a16:creationId xmlns:a16="http://schemas.microsoft.com/office/drawing/2014/main" id="{10FDAA2C-6A07-480C-A860-488CE624A80E}"/>
            </a:ext>
          </a:extLst>
        </xdr:cNvPr>
        <xdr:cNvPicPr>
          <a:picLocks noChangeAspect="1"/>
        </xdr:cNvPicPr>
      </xdr:nvPicPr>
      <xdr:blipFill>
        <a:blip xmlns:r="http://schemas.openxmlformats.org/officeDocument/2006/relationships" r:embed="rId2"/>
        <a:stretch>
          <a:fillRect/>
        </a:stretch>
      </xdr:blipFill>
      <xdr:spPr>
        <a:xfrm>
          <a:off x="7025888" y="116417"/>
          <a:ext cx="853041" cy="503803"/>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9</xdr:col>
      <xdr:colOff>444113</xdr:colOff>
      <xdr:row>0</xdr:row>
      <xdr:rowOff>116417</xdr:rowOff>
    </xdr:from>
    <xdr:to>
      <xdr:col>11</xdr:col>
      <xdr:colOff>77954</xdr:colOff>
      <xdr:row>3</xdr:row>
      <xdr:rowOff>58245</xdr:rowOff>
    </xdr:to>
    <xdr:pic>
      <xdr:nvPicPr>
        <xdr:cNvPr id="2" name="Picture 1">
          <a:hlinkClick xmlns:r="http://schemas.openxmlformats.org/officeDocument/2006/relationships" r:id="rId1"/>
          <a:extLst>
            <a:ext uri="{FF2B5EF4-FFF2-40B4-BE49-F238E27FC236}">
              <a16:creationId xmlns:a16="http://schemas.microsoft.com/office/drawing/2014/main" id="{35DC0BF0-CC9F-410F-BCA9-D85DB2F53B15}"/>
            </a:ext>
          </a:extLst>
        </xdr:cNvPr>
        <xdr:cNvPicPr>
          <a:picLocks noChangeAspect="1"/>
        </xdr:cNvPicPr>
      </xdr:nvPicPr>
      <xdr:blipFill>
        <a:blip xmlns:r="http://schemas.openxmlformats.org/officeDocument/2006/relationships" r:embed="rId2"/>
        <a:stretch>
          <a:fillRect/>
        </a:stretch>
      </xdr:blipFill>
      <xdr:spPr>
        <a:xfrm>
          <a:off x="7025888" y="116417"/>
          <a:ext cx="853041" cy="5038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4.xml"/><Relationship Id="rId1" Type="http://schemas.openxmlformats.org/officeDocument/2006/relationships/printerSettings" Target="../printerSettings/printerSettings2.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5.xml"/><Relationship Id="rId1" Type="http://schemas.openxmlformats.org/officeDocument/2006/relationships/printerSettings" Target="../printerSettings/printerSettings3.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6.xml"/><Relationship Id="rId1" Type="http://schemas.openxmlformats.org/officeDocument/2006/relationships/printerSettings" Target="../printerSettings/printerSettings4.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7.xml"/><Relationship Id="rId1" Type="http://schemas.openxmlformats.org/officeDocument/2006/relationships/printerSettings" Target="../printerSettings/printerSettings5.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8.xml"/><Relationship Id="rId1" Type="http://schemas.openxmlformats.org/officeDocument/2006/relationships/printerSettings" Target="../printerSettings/printerSettings6.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9.xml"/><Relationship Id="rId1" Type="http://schemas.openxmlformats.org/officeDocument/2006/relationships/printerSettings" Target="../printerSettings/printerSettings7.bin"/><Relationship Id="rId4" Type="http://schemas.openxmlformats.org/officeDocument/2006/relationships/comments" Target="../comments18.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0.xml"/><Relationship Id="rId1" Type="http://schemas.openxmlformats.org/officeDocument/2006/relationships/printerSettings" Target="../printerSettings/printerSettings8.bin"/><Relationship Id="rId4" Type="http://schemas.openxmlformats.org/officeDocument/2006/relationships/comments" Target="../comments1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1.xml"/><Relationship Id="rId1" Type="http://schemas.openxmlformats.org/officeDocument/2006/relationships/printerSettings" Target="../printerSettings/printerSettings9.bin"/><Relationship Id="rId4" Type="http://schemas.openxmlformats.org/officeDocument/2006/relationships/comments" Target="../comments20.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2.xml"/><Relationship Id="rId1" Type="http://schemas.openxmlformats.org/officeDocument/2006/relationships/printerSettings" Target="../printerSettings/printerSettings10.bin"/><Relationship Id="rId4" Type="http://schemas.openxmlformats.org/officeDocument/2006/relationships/comments" Target="../comments21.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3.xml"/><Relationship Id="rId1" Type="http://schemas.openxmlformats.org/officeDocument/2006/relationships/printerSettings" Target="../printerSettings/printerSettings11.bin"/><Relationship Id="rId4" Type="http://schemas.openxmlformats.org/officeDocument/2006/relationships/comments" Target="../comments22.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4.xml"/><Relationship Id="rId1" Type="http://schemas.openxmlformats.org/officeDocument/2006/relationships/printerSettings" Target="../printerSettings/printerSettings12.bin"/><Relationship Id="rId4" Type="http://schemas.openxmlformats.org/officeDocument/2006/relationships/comments" Target="../comments23.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5.xml"/><Relationship Id="rId1" Type="http://schemas.openxmlformats.org/officeDocument/2006/relationships/printerSettings" Target="../printerSettings/printerSettings13.bin"/><Relationship Id="rId4" Type="http://schemas.openxmlformats.org/officeDocument/2006/relationships/comments" Target="../comments24.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6.xml"/><Relationship Id="rId1" Type="http://schemas.openxmlformats.org/officeDocument/2006/relationships/printerSettings" Target="../printerSettings/printerSettings14.bin"/><Relationship Id="rId4" Type="http://schemas.openxmlformats.org/officeDocument/2006/relationships/comments" Target="../comments25.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7.xml"/><Relationship Id="rId1" Type="http://schemas.openxmlformats.org/officeDocument/2006/relationships/printerSettings" Target="../printerSettings/printerSettings15.bin"/><Relationship Id="rId4" Type="http://schemas.openxmlformats.org/officeDocument/2006/relationships/comments" Target="../comments26.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8.xml"/><Relationship Id="rId1" Type="http://schemas.openxmlformats.org/officeDocument/2006/relationships/printerSettings" Target="../printerSettings/printerSettings16.bin"/><Relationship Id="rId4" Type="http://schemas.openxmlformats.org/officeDocument/2006/relationships/comments" Target="../comments27.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9.xml"/><Relationship Id="rId1" Type="http://schemas.openxmlformats.org/officeDocument/2006/relationships/printerSettings" Target="../printerSettings/printerSettings17.bin"/><Relationship Id="rId4" Type="http://schemas.openxmlformats.org/officeDocument/2006/relationships/comments" Target="../comments28.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30.xml"/><Relationship Id="rId1" Type="http://schemas.openxmlformats.org/officeDocument/2006/relationships/printerSettings" Target="../printerSettings/printerSettings18.bin"/><Relationship Id="rId4" Type="http://schemas.openxmlformats.org/officeDocument/2006/relationships/comments" Target="../comments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AF1B8-72A3-4DFF-A083-A72EEDD58D80}">
  <sheetPr>
    <tabColor theme="4" tint="-0.499984740745262"/>
  </sheetPr>
  <dimension ref="A5:Q28"/>
  <sheetViews>
    <sheetView showGridLines="0" tabSelected="1" zoomScaleNormal="100" workbookViewId="0">
      <selection activeCell="B9" sqref="B9"/>
    </sheetView>
  </sheetViews>
  <sheetFormatPr defaultRowHeight="12.75" x14ac:dyDescent="0.2"/>
  <cols>
    <col min="5" max="5" width="22.85546875" style="15" customWidth="1"/>
    <col min="6" max="6" width="60.140625" style="15" bestFit="1" customWidth="1"/>
    <col min="7" max="7" width="14.140625" style="15" customWidth="1"/>
    <col min="8" max="8" width="13.7109375" customWidth="1"/>
    <col min="9" max="9" width="12.28515625" customWidth="1"/>
    <col min="11" max="11" width="12.85546875" customWidth="1"/>
    <col min="12" max="12" width="12.7109375" customWidth="1"/>
  </cols>
  <sheetData>
    <row r="5" spans="1:17" ht="21.75" customHeight="1" thickBot="1" x14ac:dyDescent="0.25"/>
    <row r="6" spans="1:17" ht="21.75" customHeight="1" x14ac:dyDescent="0.3">
      <c r="D6" s="13"/>
      <c r="E6" s="103" t="s">
        <v>103</v>
      </c>
      <c r="F6" s="104"/>
      <c r="G6" s="104"/>
      <c r="H6" s="104"/>
      <c r="I6" s="104"/>
      <c r="J6" s="104"/>
      <c r="K6" s="104"/>
      <c r="L6" s="104"/>
      <c r="M6" s="105"/>
    </row>
    <row r="7" spans="1:17" ht="24" customHeight="1" x14ac:dyDescent="0.2">
      <c r="D7" s="12"/>
      <c r="E7" s="106"/>
      <c r="F7" s="107"/>
      <c r="G7" s="107"/>
      <c r="H7" s="107"/>
      <c r="I7" s="107"/>
      <c r="J7" s="107"/>
      <c r="K7" s="107"/>
      <c r="L7" s="107"/>
      <c r="M7" s="108"/>
    </row>
    <row r="8" spans="1:17" ht="24" customHeight="1" thickBot="1" x14ac:dyDescent="0.35">
      <c r="A8" s="13"/>
      <c r="B8" s="13"/>
      <c r="C8" s="13"/>
      <c r="E8" s="106"/>
      <c r="F8" s="107"/>
      <c r="G8" s="107"/>
      <c r="H8" s="107"/>
      <c r="I8" s="107"/>
      <c r="J8" s="107"/>
      <c r="K8" s="107"/>
      <c r="L8" s="107"/>
      <c r="M8" s="108"/>
      <c r="N8" s="13"/>
      <c r="O8" s="13"/>
      <c r="P8" s="13"/>
      <c r="Q8" s="13"/>
    </row>
    <row r="9" spans="1:17" ht="21" customHeight="1" x14ac:dyDescent="0.2">
      <c r="A9" s="12"/>
      <c r="B9" s="12"/>
      <c r="C9" s="12"/>
      <c r="E9" s="115" t="s">
        <v>100</v>
      </c>
      <c r="F9" s="116"/>
      <c r="G9" s="112" t="s">
        <v>51</v>
      </c>
      <c r="H9" s="114" t="s">
        <v>94</v>
      </c>
      <c r="I9" s="114"/>
      <c r="J9" s="119" t="s">
        <v>80</v>
      </c>
      <c r="K9" s="114" t="s">
        <v>95</v>
      </c>
      <c r="L9" s="114"/>
      <c r="M9" s="101" t="s">
        <v>80</v>
      </c>
      <c r="N9" s="12"/>
      <c r="O9" s="12"/>
      <c r="P9" s="12"/>
      <c r="Q9" s="12"/>
    </row>
    <row r="10" spans="1:17" ht="21" customHeight="1" thickBot="1" x14ac:dyDescent="0.25">
      <c r="E10" s="117"/>
      <c r="F10" s="118"/>
      <c r="G10" s="113"/>
      <c r="H10" s="23">
        <v>2018</v>
      </c>
      <c r="I10" s="23">
        <v>2019</v>
      </c>
      <c r="J10" s="120"/>
      <c r="K10" s="23">
        <v>2018</v>
      </c>
      <c r="L10" s="23">
        <v>2019</v>
      </c>
      <c r="M10" s="102"/>
    </row>
    <row r="11" spans="1:17" ht="18.75" customHeight="1" x14ac:dyDescent="0.25">
      <c r="E11" s="121" t="s">
        <v>101</v>
      </c>
      <c r="F11" s="111" t="s">
        <v>76</v>
      </c>
      <c r="G11" s="21" t="s">
        <v>56</v>
      </c>
      <c r="H11" s="21">
        <f>'SusceptibleTBAdult av 25-39 AV'!I15</f>
        <v>15.671999999999999</v>
      </c>
      <c r="I11" s="21">
        <f>'SusceptibleTBAdult av 25-39 AV'!T15</f>
        <v>17.786657142857145</v>
      </c>
      <c r="J11" s="98">
        <f>(I11/H11)-1</f>
        <v>0.13493218114198235</v>
      </c>
      <c r="K11" s="21">
        <f>'SuscTBAdult av 25-39 Cheapest'!I15</f>
        <v>14.208</v>
      </c>
      <c r="L11" s="21">
        <f>'SuscTBAdult av 25-39 Cheapest'!T15</f>
        <v>15.600000000000001</v>
      </c>
      <c r="M11" s="99">
        <f t="shared" ref="M11:M20" si="0">(L11/K11)-1</f>
        <v>9.7972972972973027E-2</v>
      </c>
    </row>
    <row r="12" spans="1:17" ht="18.75" customHeight="1" x14ac:dyDescent="0.25">
      <c r="E12" s="109"/>
      <c r="F12" s="110"/>
      <c r="G12" s="22" t="s">
        <v>57</v>
      </c>
      <c r="H12" s="22">
        <f>'SusceptibleTBAdult av 40-54 AV'!I15</f>
        <v>23.507999999999999</v>
      </c>
      <c r="I12" s="22">
        <f>'SusceptibleTBAdult av 40-54 AV'!T15</f>
        <v>26.679985714285714</v>
      </c>
      <c r="J12" s="85">
        <f>(I12/H12)-1</f>
        <v>0.13493218114198213</v>
      </c>
      <c r="K12" s="22">
        <f>'SuscTBAdult av 40-54 Cheapest'!I15</f>
        <v>21.311999999999998</v>
      </c>
      <c r="L12" s="22">
        <f>'SuscTBAdult av 40-54 Cheapest'!T15</f>
        <v>23.4</v>
      </c>
      <c r="M12" s="86">
        <f t="shared" si="0"/>
        <v>9.7972972972973027E-2</v>
      </c>
    </row>
    <row r="13" spans="1:17" ht="18.75" customHeight="1" x14ac:dyDescent="0.25">
      <c r="E13" s="109"/>
      <c r="F13" s="110"/>
      <c r="G13" s="22" t="s">
        <v>58</v>
      </c>
      <c r="H13" s="22">
        <f>'SusceptibleTBAdult av 55-70 AV'!I15</f>
        <v>31.343999999999998</v>
      </c>
      <c r="I13" s="22">
        <f>'SusceptibleTBAdult av 55-70 AV'!T15</f>
        <v>35.573314285714289</v>
      </c>
      <c r="J13" s="85">
        <f>(I13/H13)-1</f>
        <v>0.13493218114198235</v>
      </c>
      <c r="K13" s="22">
        <f>'SuscTBAdult av 55-70 Cheapest'!I15</f>
        <v>28.416</v>
      </c>
      <c r="L13" s="22">
        <f>'SuscTBAdult av 55-70 Cheapest'!T15</f>
        <v>31.200000000000003</v>
      </c>
      <c r="M13" s="86">
        <f t="shared" si="0"/>
        <v>9.7972972972973027E-2</v>
      </c>
    </row>
    <row r="14" spans="1:17" ht="18.75" customHeight="1" x14ac:dyDescent="0.25">
      <c r="E14" s="109"/>
      <c r="F14" s="110"/>
      <c r="G14" s="22" t="s">
        <v>59</v>
      </c>
      <c r="H14" s="22">
        <f>'SusceptibleTBAdult av &gt; 70 AV'!I15</f>
        <v>39.18</v>
      </c>
      <c r="I14" s="22">
        <f>'SusceptibleTBAdult av &gt; 70 AV'!T15</f>
        <v>44.466642857142858</v>
      </c>
      <c r="J14" s="85">
        <f>(I14/H14)-1</f>
        <v>0.13493218114198213</v>
      </c>
      <c r="K14" s="22">
        <f>'SusceptibleTBAdult av&gt;70 Cheape'!I15</f>
        <v>35.519999999999996</v>
      </c>
      <c r="L14" s="22">
        <f>'SusceptibleTBAdult av&gt;70 Cheape'!T15</f>
        <v>39</v>
      </c>
      <c r="M14" s="86">
        <f t="shared" si="0"/>
        <v>9.7972972972973027E-2</v>
      </c>
    </row>
    <row r="15" spans="1:17" ht="18.75" customHeight="1" x14ac:dyDescent="0.25">
      <c r="E15" s="109" t="s">
        <v>102</v>
      </c>
      <c r="F15" s="110" t="s">
        <v>79</v>
      </c>
      <c r="G15" s="22" t="s">
        <v>52</v>
      </c>
      <c r="H15" s="22">
        <f>'SusceptibleTBavPaed 4-7 AV'!I15</f>
        <v>6.4260000000000002</v>
      </c>
      <c r="I15" s="22">
        <f>'SusceptibleTBavPaed 4-7 AV'!T15</f>
        <v>6.7828571428571429</v>
      </c>
      <c r="J15" s="85">
        <f>(I15/H15)-1</f>
        <v>5.5533324440887544E-2</v>
      </c>
      <c r="K15" s="22">
        <f t="shared" ref="K15:L18" si="1">H15</f>
        <v>6.4260000000000002</v>
      </c>
      <c r="L15" s="22">
        <f t="shared" si="1"/>
        <v>6.7828571428571429</v>
      </c>
      <c r="M15" s="86">
        <f>(L15/K15)-1</f>
        <v>5.5533324440887544E-2</v>
      </c>
    </row>
    <row r="16" spans="1:17" ht="18.75" customHeight="1" x14ac:dyDescent="0.25">
      <c r="E16" s="109"/>
      <c r="F16" s="110"/>
      <c r="G16" s="22" t="s">
        <v>53</v>
      </c>
      <c r="H16" s="22">
        <f>'SusceptibleTBavPaed 8-11 AV'!I15</f>
        <v>12.857142857142858</v>
      </c>
      <c r="I16" s="22">
        <f>'SusceptibleTBavPaed 8-11 AV'!T15</f>
        <v>13.565714285714286</v>
      </c>
      <c r="J16" s="85">
        <f t="shared" ref="J16:J27" si="2">(I16/H16)-1</f>
        <v>5.5111111111111111E-2</v>
      </c>
      <c r="K16" s="22">
        <f t="shared" si="1"/>
        <v>12.857142857142858</v>
      </c>
      <c r="L16" s="22">
        <f t="shared" si="1"/>
        <v>13.565714285714286</v>
      </c>
      <c r="M16" s="86">
        <f t="shared" ref="M16:M18" si="3">(L16/K16)-1</f>
        <v>5.5111111111111111E-2</v>
      </c>
    </row>
    <row r="17" spans="5:13" ht="18.75" customHeight="1" x14ac:dyDescent="0.25">
      <c r="E17" s="109"/>
      <c r="F17" s="110"/>
      <c r="G17" s="22" t="s">
        <v>54</v>
      </c>
      <c r="H17" s="22">
        <f>'SusceptibleTBavPaed 12-15 AV'!I15</f>
        <v>19.285714285714285</v>
      </c>
      <c r="I17" s="22">
        <f>'SusceptibleTBavPaed 12-15 AV'!T15</f>
        <v>20.348571428571429</v>
      </c>
      <c r="J17" s="85">
        <f t="shared" si="2"/>
        <v>5.5111111111111111E-2</v>
      </c>
      <c r="K17" s="22">
        <f t="shared" si="1"/>
        <v>19.285714285714285</v>
      </c>
      <c r="L17" s="22">
        <f t="shared" si="1"/>
        <v>20.348571428571429</v>
      </c>
      <c r="M17" s="86">
        <f t="shared" si="3"/>
        <v>5.5111111111111111E-2</v>
      </c>
    </row>
    <row r="18" spans="5:13" ht="18.75" customHeight="1" x14ac:dyDescent="0.25">
      <c r="E18" s="109"/>
      <c r="F18" s="110"/>
      <c r="G18" s="22" t="s">
        <v>55</v>
      </c>
      <c r="H18" s="22">
        <f>'SusceptibleTBavPaed 16-24 AV'!I15</f>
        <v>25.714285714285715</v>
      </c>
      <c r="I18" s="22">
        <f>'SusceptibleTBavPaed 16-24 AV'!T15</f>
        <v>27.131428571428572</v>
      </c>
      <c r="J18" s="85">
        <f t="shared" si="2"/>
        <v>5.5111111111111111E-2</v>
      </c>
      <c r="K18" s="22">
        <f t="shared" si="1"/>
        <v>25.714285714285715</v>
      </c>
      <c r="L18" s="22">
        <f t="shared" si="1"/>
        <v>27.131428571428572</v>
      </c>
      <c r="M18" s="86">
        <f t="shared" si="3"/>
        <v>5.5111111111111111E-2</v>
      </c>
    </row>
    <row r="19" spans="5:13" ht="18.75" customHeight="1" x14ac:dyDescent="0.25">
      <c r="E19" s="75" t="s">
        <v>99</v>
      </c>
      <c r="F19" s="71" t="s">
        <v>81</v>
      </c>
      <c r="G19" s="72" t="s">
        <v>60</v>
      </c>
      <c r="H19" s="72">
        <f>'Old LTR Km Eto'!I22</f>
        <v>777.87599999999998</v>
      </c>
      <c r="I19" s="72">
        <f>'Old LTR Km Eto'!T22</f>
        <v>741.96085714285709</v>
      </c>
      <c r="J19" s="87">
        <f t="shared" si="2"/>
        <v>-4.617078153477272E-2</v>
      </c>
      <c r="K19" s="72">
        <f>'Old LTR Km Eto cheapest'!I22</f>
        <v>736.02</v>
      </c>
      <c r="L19" s="72">
        <f>'Old LTR Km Eto cheapest'!T22</f>
        <v>709.68000000000006</v>
      </c>
      <c r="M19" s="88">
        <f t="shared" si="0"/>
        <v>-3.57870710035052E-2</v>
      </c>
    </row>
    <row r="20" spans="5:13" ht="18.75" customHeight="1" x14ac:dyDescent="0.25">
      <c r="E20" s="75" t="s">
        <v>75</v>
      </c>
      <c r="F20" s="71" t="s">
        <v>96</v>
      </c>
      <c r="G20" s="72" t="s">
        <v>61</v>
      </c>
      <c r="H20" s="72">
        <f>'Old STR 30-50'!I24</f>
        <v>561.71669999999995</v>
      </c>
      <c r="I20" s="72">
        <f>'Old STR 30-50'!T24</f>
        <v>406.10273214285712</v>
      </c>
      <c r="J20" s="87">
        <f t="shared" si="2"/>
        <v>-0.27703283142043456</v>
      </c>
      <c r="K20" s="72">
        <f>'STR 30-50 Cheapest'!I24</f>
        <v>538.99950000000001</v>
      </c>
      <c r="L20" s="72">
        <f>'STR 30-50 Cheapest'!T24</f>
        <v>364.61642857142863</v>
      </c>
      <c r="M20" s="88">
        <f t="shared" si="0"/>
        <v>-0.32353104488700157</v>
      </c>
    </row>
    <row r="21" spans="5:13" ht="18.75" customHeight="1" x14ac:dyDescent="0.25">
      <c r="E21" s="76" t="s">
        <v>123</v>
      </c>
      <c r="F21" s="73" t="s">
        <v>130</v>
      </c>
      <c r="G21" s="91" t="s">
        <v>60</v>
      </c>
      <c r="H21" s="74">
        <f>'New LTR Mfx 6 Lnz'!I15</f>
        <v>1860.7719999999999</v>
      </c>
      <c r="I21" s="74">
        <f>'New LTR Mfx 6 Lnz'!T15</f>
        <v>1433.7289000000001</v>
      </c>
      <c r="J21" s="89">
        <f t="shared" si="2"/>
        <v>-0.22949781058614371</v>
      </c>
      <c r="K21" s="73"/>
      <c r="L21" s="73"/>
      <c r="M21" s="77"/>
    </row>
    <row r="22" spans="5:13" ht="18.75" customHeight="1" x14ac:dyDescent="0.25">
      <c r="E22" s="76" t="s">
        <v>124</v>
      </c>
      <c r="F22" s="73" t="s">
        <v>127</v>
      </c>
      <c r="G22" s="91" t="s">
        <v>60</v>
      </c>
      <c r="H22" s="74">
        <f>'New LTR Mfx 12 Lnz'!I15</f>
        <v>2103.6639999999998</v>
      </c>
      <c r="I22" s="74">
        <f>'New LTR Mfx 12 Lnz'!T15</f>
        <v>1558.3168000000001</v>
      </c>
      <c r="J22" s="89">
        <f t="shared" si="2"/>
        <v>-0.25923683630085403</v>
      </c>
      <c r="K22" s="73"/>
      <c r="L22" s="73"/>
      <c r="M22" s="77"/>
    </row>
    <row r="23" spans="5:13" ht="18.75" customHeight="1" x14ac:dyDescent="0.25">
      <c r="E23" s="76" t="s">
        <v>125</v>
      </c>
      <c r="F23" s="73" t="s">
        <v>128</v>
      </c>
      <c r="G23" s="91" t="s">
        <v>60</v>
      </c>
      <c r="H23" s="74">
        <f>'New LTR Lfx 6 Lnz'!I15</f>
        <v>1610.5720000000001</v>
      </c>
      <c r="I23" s="74">
        <f>'New LTR Lfx 6 Lnz'!T15</f>
        <v>1369.5679</v>
      </c>
      <c r="J23" s="89">
        <f t="shared" si="2"/>
        <v>-0.14963882397061423</v>
      </c>
      <c r="K23" s="73"/>
      <c r="L23" s="73"/>
      <c r="M23" s="77"/>
    </row>
    <row r="24" spans="5:13" ht="18.75" customHeight="1" x14ac:dyDescent="0.25">
      <c r="E24" s="76" t="s">
        <v>126</v>
      </c>
      <c r="F24" s="73" t="s">
        <v>129</v>
      </c>
      <c r="G24" s="91" t="s">
        <v>60</v>
      </c>
      <c r="H24" s="74">
        <f>'New LTR Lfx 12 Lnz'!I15</f>
        <v>1853.4640000000002</v>
      </c>
      <c r="I24" s="74">
        <f>'New LTR Lfx 12 Lnz'!T15</f>
        <v>1494.1558</v>
      </c>
      <c r="J24" s="89">
        <f t="shared" si="2"/>
        <v>-0.19385766327266141</v>
      </c>
      <c r="K24" s="73"/>
      <c r="L24" s="73"/>
      <c r="M24" s="77"/>
    </row>
    <row r="25" spans="5:13" ht="18.75" customHeight="1" x14ac:dyDescent="0.25">
      <c r="E25" s="76" t="s">
        <v>149</v>
      </c>
      <c r="F25" s="73" t="s">
        <v>131</v>
      </c>
      <c r="G25" s="91" t="s">
        <v>61</v>
      </c>
      <c r="H25" s="74">
        <f>'New STR 30-50 Am'!I24</f>
        <v>620.51670000000001</v>
      </c>
      <c r="I25" s="74">
        <f>'New STR 30-50 Am'!T24</f>
        <v>484.03073214285712</v>
      </c>
      <c r="J25" s="89">
        <f t="shared" si="2"/>
        <v>-0.21995534988364196</v>
      </c>
      <c r="K25" s="73"/>
      <c r="L25" s="73"/>
      <c r="M25" s="77"/>
    </row>
    <row r="26" spans="5:13" ht="18.75" customHeight="1" x14ac:dyDescent="0.25">
      <c r="E26" s="92" t="s">
        <v>150</v>
      </c>
      <c r="F26" s="93" t="s">
        <v>132</v>
      </c>
      <c r="G26" s="94" t="s">
        <v>61</v>
      </c>
      <c r="H26" s="95">
        <f>'New STR 30-50 BDQ'!I24</f>
        <v>851.31670000000008</v>
      </c>
      <c r="I26" s="95">
        <f>'New STR 30-50 BDQ'!T24</f>
        <v>726.06273214285716</v>
      </c>
      <c r="J26" s="96">
        <f t="shared" si="2"/>
        <v>-0.14712969668883846</v>
      </c>
      <c r="K26" s="93"/>
      <c r="L26" s="93"/>
      <c r="M26" s="97"/>
    </row>
    <row r="27" spans="5:13" ht="18.75" customHeight="1" x14ac:dyDescent="0.25">
      <c r="E27" s="92" t="s">
        <v>151</v>
      </c>
      <c r="F27" s="93" t="s">
        <v>152</v>
      </c>
      <c r="G27" s="94" t="s">
        <v>153</v>
      </c>
      <c r="H27" s="95">
        <f>'New LTR Kids'!I16</f>
        <v>2277.1303199999998</v>
      </c>
      <c r="I27" s="95">
        <f>'New LTR Kids'!T16</f>
        <v>1834.5463199999999</v>
      </c>
      <c r="J27" s="96">
        <f t="shared" si="2"/>
        <v>-0.19436041763301448</v>
      </c>
      <c r="K27" s="73"/>
      <c r="L27" s="73"/>
      <c r="M27" s="77"/>
    </row>
    <row r="28" spans="5:13" ht="18.75" customHeight="1" thickBot="1" x14ac:dyDescent="0.3">
      <c r="E28" s="78" t="s">
        <v>154</v>
      </c>
      <c r="F28" s="79" t="s">
        <v>157</v>
      </c>
      <c r="G28" s="100" t="s">
        <v>60</v>
      </c>
      <c r="H28" s="69"/>
      <c r="I28" s="69">
        <f>'Mod STR'!T33</f>
        <v>731.51948571428568</v>
      </c>
      <c r="J28" s="90" t="s">
        <v>155</v>
      </c>
      <c r="K28" s="79"/>
      <c r="L28" s="79"/>
      <c r="M28" s="80"/>
    </row>
  </sheetData>
  <mergeCells count="11">
    <mergeCell ref="M9:M10"/>
    <mergeCell ref="E6:M8"/>
    <mergeCell ref="E15:E18"/>
    <mergeCell ref="F15:F18"/>
    <mergeCell ref="F11:F14"/>
    <mergeCell ref="G9:G10"/>
    <mergeCell ref="K9:L9"/>
    <mergeCell ref="E9:F10"/>
    <mergeCell ref="J9:J10"/>
    <mergeCell ref="H9:I9"/>
    <mergeCell ref="E11:E14"/>
  </mergeCells>
  <hyperlinks>
    <hyperlink ref="J11" location="'SusceptibleTBAdult av 25-39 AV'!A1" display="'SusceptibleTBAdult av 25-39 AV'!A1" xr:uid="{555AE06C-F85F-43D5-B2EE-9ECCFE1D1060}"/>
    <hyperlink ref="J12" location="'SusceptibleTBAdult av 40-54 AV'!A1" display="'SusceptibleTBAdult av 40-54 AV'!A1" xr:uid="{C3BE2B2C-294A-43B7-A052-0E419B5CB7A9}"/>
    <hyperlink ref="J13" location="'SusceptibleTBAdult av 55-70 AV'!A1" display="'SusceptibleTBAdult av 55-70 AV'!A1" xr:uid="{8302AC42-4F4B-4F45-88CD-6A067DFAE3A6}"/>
    <hyperlink ref="J14" location="'SusceptibleTBAdult av &gt; 70 AV'!A1" display="'SusceptibleTBAdult av &gt; 70 AV'!A1" xr:uid="{73A494B7-3989-4D6E-B7D0-8AED0D207AF8}"/>
    <hyperlink ref="M11" location="'SuscTBAdult av 25-39 Cheapest'!A1" display="'SuscTBAdult av 25-39 Cheapest'!A1" xr:uid="{F0A6E5B2-9A71-4129-8E76-CB0FE49E0D99}"/>
    <hyperlink ref="M12" location="'SuscTBAdult av 40-54 Cheapest'!A1" display="'SuscTBAdult av 40-54 Cheapest'!A1" xr:uid="{D57B03C6-C862-4D4E-A98E-A51F05118D64}"/>
    <hyperlink ref="M13" location="'SuscTBAdult av 55-70 Cheapest'!A1" display="'SuscTBAdult av 55-70 Cheapest'!A1" xr:uid="{F010983E-2E82-46E6-A224-16CF45ED7D08}"/>
    <hyperlink ref="M14" location="'SusceptibleTBAdult av&gt;70 Cheape'!A1" display="'SusceptibleTBAdult av&gt;70 Cheape'!A1" xr:uid="{FE9B78E7-3E87-4008-A9E9-5DFC19A527E3}"/>
    <hyperlink ref="J15" location="'SusceptibleTBavPaed 4-7 AV'!A1" display="'SusceptibleTBavPaed 4-7 AV'!A1" xr:uid="{F5184253-1F1C-4DF3-BC84-F5E06458B5FD}"/>
    <hyperlink ref="J16" location="'SusceptibleTBavPaed 8-11 AV'!A1" display="'SusceptibleTBavPaed 8-11 AV'!A1" xr:uid="{98B7D84D-29EA-448D-906C-FE7BDEA73E8B}"/>
    <hyperlink ref="J17" location="'SusceptibleTBavPaed 12-15 AV'!A1" display="'SusceptibleTBavPaed 12-15 AV'!A1" xr:uid="{3C672AAE-9BCF-42C5-8A1B-64C5EC86CA1E}"/>
    <hyperlink ref="J18" location="'SusceptibleTBavPaed 16-24 AV'!A1" display="'SusceptibleTBavPaed 16-24 AV'!A1" xr:uid="{5D4460D8-98A3-4012-9CB7-0AB342F16356}"/>
    <hyperlink ref="M15" location="'SusceptibleTBavPaed 4-7 AV'!A1" display="'SusceptibleTBavPaed 4-7 AV'!A1" xr:uid="{617055FC-52F2-435E-B454-660D5EE9DF05}"/>
    <hyperlink ref="M16" location="'SusceptibleTBavPaed 8-11 AV'!A1" display="'SusceptibleTBavPaed 8-11 AV'!A1" xr:uid="{ED1B460F-B97F-4F09-8ACA-5A3CA648FF21}"/>
    <hyperlink ref="M17" location="'SusceptibleTBavPaed 12-15 AV'!A1" display="'SusceptibleTBavPaed 12-15 AV'!A1" xr:uid="{0860B667-94DD-4117-AD77-985BC6632C50}"/>
    <hyperlink ref="M18" location="'SusceptibleTBavPaed 16-24 AV'!A1" display="'SusceptibleTBavPaed 16-24 AV'!A1" xr:uid="{BE4DA613-9ACE-49C0-9D32-3BAEB70C312F}"/>
    <hyperlink ref="J19" location="'Old LTR Km Eto'!A1" display="'Old LTR Km Eto'!A1" xr:uid="{42FDF300-8C44-4259-95BC-3D7A39DE8DC8}"/>
    <hyperlink ref="M19" location="'Old LTR Km Eto cheapest'!A1" display="'Old LTR Km Eto cheapest'!A1" xr:uid="{6EEBFE45-3DE2-41C4-9626-E4AE12C08441}"/>
    <hyperlink ref="J20" location="'Old STR 30-50'!A1" display="'Old STR 30-50'!A1" xr:uid="{14CBFBF8-EC31-4202-A0E8-5D94D9D4B2C4}"/>
    <hyperlink ref="M20" location="'STR 30-50 Cheapest'!A1" display="'STR 30-50 Cheapest'!A1" xr:uid="{FB186835-2D6D-4903-9CD0-1952BB803C31}"/>
    <hyperlink ref="J21" location="'New LTR Mfx 6 Lnz'!A1" display="'New LTR Mfx 6 Lnz'!A1" xr:uid="{3D73D278-2397-45A2-8DFF-D605E86FA7FE}"/>
    <hyperlink ref="J22" location="'New LTR Mfx 12 Lnz'!A1" display="'New LTR Mfx 12 Lnz'!A1" xr:uid="{37173BED-A2CB-46CC-ADF6-BDD9CD69FC68}"/>
    <hyperlink ref="J23" location="'New LTR Lfx 6 Lnz'!A1" display="'New LTR Lfx 6 Lnz'!A1" xr:uid="{47E69199-60BB-481E-9733-261CE3543A54}"/>
    <hyperlink ref="J24" location="'New LTR Lfx 12 Lnz'!A1" display="'New LTR Lfx 12 Lnz'!A1" xr:uid="{FE261B68-BB38-488B-A389-B480EFF8F082}"/>
    <hyperlink ref="J25" location="'New STR 30-50 Am'!A1" display="'New STR 30-50 Am'!A1" xr:uid="{601794EB-6B84-4707-A480-CB331C1494B8}"/>
    <hyperlink ref="J26" location="'New STR 30-50 BDQ'!A1" display="'New STR 30-50 BDQ'!A1" xr:uid="{F7D12871-9D67-41B9-89C1-D871F6CEDB21}"/>
    <hyperlink ref="J27" location="'New LTR Kids'!A1" display="'New LTR Kids'!A1" xr:uid="{8D6B1BE1-E454-4AE5-B025-0A5EE7B37AF8}"/>
    <hyperlink ref="J28" location="'Mod STR'!A1" display="N/A" xr:uid="{1522F6DE-B730-4873-BF31-50565AB42B39}"/>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83F51-4B88-4126-A6D0-EB63E0EE756D}">
  <sheetPr>
    <tabColor theme="9" tint="0.59999389629810485"/>
  </sheetPr>
  <dimension ref="B1:T20"/>
  <sheetViews>
    <sheetView showGridLines="0" zoomScaleNormal="100" workbookViewId="0"/>
  </sheetViews>
  <sheetFormatPr defaultRowHeight="12.75" x14ac:dyDescent="0.2"/>
  <cols>
    <col min="2" max="2" width="21.28515625" style="1" customWidth="1"/>
    <col min="3" max="3" width="9" style="1" customWidth="1"/>
    <col min="4" max="4" width="9.5703125" style="1" customWidth="1"/>
    <col min="5" max="6" width="8.85546875" style="1" bestFit="1" customWidth="1"/>
    <col min="7" max="7" width="7.5703125" style="1" customWidth="1"/>
    <col min="8" max="8" width="14.42578125" style="1" customWidth="1"/>
    <col min="9" max="9" width="12.28515625" style="1" customWidth="1"/>
    <col min="11" max="11" width="9.140625" style="14"/>
    <col min="13" max="13" width="16.28515625" bestFit="1" customWidth="1"/>
    <col min="19" max="19" width="14.42578125" customWidth="1"/>
  </cols>
  <sheetData>
    <row r="1" spans="2:20" x14ac:dyDescent="0.2">
      <c r="M1" s="1"/>
      <c r="N1" s="1"/>
      <c r="O1" s="1"/>
      <c r="P1" s="1"/>
      <c r="Q1" s="1"/>
      <c r="R1" s="1"/>
      <c r="S1" s="1"/>
      <c r="T1" s="1"/>
    </row>
    <row r="2" spans="2:20" ht="15.75" x14ac:dyDescent="0.25">
      <c r="B2" s="122">
        <v>2018</v>
      </c>
      <c r="C2" s="122"/>
      <c r="D2" s="122"/>
      <c r="E2" s="122"/>
      <c r="F2" s="122"/>
      <c r="G2" s="122"/>
      <c r="H2" s="122"/>
      <c r="I2" s="122"/>
      <c r="M2" s="122">
        <v>2019</v>
      </c>
      <c r="N2" s="122"/>
      <c r="O2" s="122"/>
      <c r="P2" s="122"/>
      <c r="Q2" s="122"/>
      <c r="R2" s="122"/>
      <c r="S2" s="122"/>
      <c r="T2" s="122"/>
    </row>
    <row r="3" spans="2:20" ht="15.75" x14ac:dyDescent="0.25">
      <c r="B3" s="122" t="s">
        <v>68</v>
      </c>
      <c r="C3" s="122"/>
      <c r="D3" s="122"/>
      <c r="E3" s="122"/>
      <c r="F3" s="122"/>
      <c r="G3" s="122"/>
      <c r="H3" s="122"/>
      <c r="I3" s="122"/>
      <c r="M3" s="122" t="s">
        <v>68</v>
      </c>
      <c r="N3" s="122"/>
      <c r="O3" s="122"/>
      <c r="P3" s="122"/>
      <c r="Q3" s="122"/>
      <c r="R3" s="122"/>
      <c r="S3" s="122"/>
      <c r="T3" s="122"/>
    </row>
    <row r="4" spans="2:20" ht="15.75" x14ac:dyDescent="0.25">
      <c r="B4" s="122" t="s">
        <v>41</v>
      </c>
      <c r="C4" s="122"/>
      <c r="D4" s="122"/>
      <c r="E4" s="122"/>
      <c r="F4" s="122"/>
      <c r="G4" s="122"/>
      <c r="H4" s="122"/>
      <c r="I4" s="122"/>
      <c r="M4" s="122" t="s">
        <v>41</v>
      </c>
      <c r="N4" s="122"/>
      <c r="O4" s="122"/>
      <c r="P4" s="122"/>
      <c r="Q4" s="122"/>
      <c r="R4" s="122"/>
      <c r="S4" s="122"/>
      <c r="T4" s="122"/>
    </row>
    <row r="5" spans="2:20" x14ac:dyDescent="0.2">
      <c r="M5" s="1"/>
      <c r="N5" s="1"/>
      <c r="O5" s="1"/>
      <c r="P5" s="1"/>
      <c r="Q5" s="1"/>
      <c r="R5" s="1"/>
      <c r="S5" s="1"/>
      <c r="T5" s="1"/>
    </row>
    <row r="6" spans="2:20" x14ac:dyDescent="0.2">
      <c r="B6" s="16" t="s">
        <v>2</v>
      </c>
      <c r="M6" s="16" t="s">
        <v>2</v>
      </c>
      <c r="N6" s="1"/>
      <c r="O6" s="1"/>
      <c r="P6" s="1"/>
      <c r="Q6" s="1"/>
      <c r="R6" s="1"/>
      <c r="S6" s="1"/>
      <c r="T6" s="1"/>
    </row>
    <row r="7" spans="2:20" ht="51" x14ac:dyDescent="0.2">
      <c r="B7" s="17" t="s">
        <v>3</v>
      </c>
      <c r="C7" s="17" t="s">
        <v>4</v>
      </c>
      <c r="D7" s="17" t="s">
        <v>82</v>
      </c>
      <c r="E7" s="17" t="s">
        <v>83</v>
      </c>
      <c r="F7" s="17" t="s">
        <v>7</v>
      </c>
      <c r="G7" s="17" t="s">
        <v>8</v>
      </c>
      <c r="H7" s="17" t="s">
        <v>85</v>
      </c>
      <c r="I7" s="17" t="s">
        <v>10</v>
      </c>
      <c r="M7" s="17" t="s">
        <v>3</v>
      </c>
      <c r="N7" s="17" t="s">
        <v>4</v>
      </c>
      <c r="O7" s="17" t="s">
        <v>82</v>
      </c>
      <c r="P7" s="17" t="s">
        <v>83</v>
      </c>
      <c r="Q7" s="17" t="s">
        <v>7</v>
      </c>
      <c r="R7" s="17" t="s">
        <v>8</v>
      </c>
      <c r="S7" s="17" t="s">
        <v>87</v>
      </c>
      <c r="T7" s="17" t="s">
        <v>10</v>
      </c>
    </row>
    <row r="8" spans="2:20" x14ac:dyDescent="0.2">
      <c r="B8" s="2" t="s">
        <v>40</v>
      </c>
      <c r="C8" s="2" t="s">
        <v>44</v>
      </c>
      <c r="D8" s="25">
        <f>0.0405</f>
        <v>4.0500000000000001E-2</v>
      </c>
      <c r="E8" s="2">
        <v>1</v>
      </c>
      <c r="F8" s="2">
        <v>30</v>
      </c>
      <c r="G8" s="2">
        <v>2</v>
      </c>
      <c r="H8" s="2">
        <f>E8*F8*G8</f>
        <v>60</v>
      </c>
      <c r="I8" s="3">
        <f>D8*H8</f>
        <v>2.4300000000000002</v>
      </c>
      <c r="M8" s="2" t="s">
        <v>40</v>
      </c>
      <c r="N8" s="2" t="s">
        <v>44</v>
      </c>
      <c r="O8" s="63">
        <v>4.2857142857142858E-2</v>
      </c>
      <c r="P8" s="2">
        <v>1</v>
      </c>
      <c r="Q8" s="2">
        <v>30</v>
      </c>
      <c r="R8" s="2">
        <v>2</v>
      </c>
      <c r="S8" s="2">
        <f>P8*Q8*R8</f>
        <v>60</v>
      </c>
      <c r="T8" s="3">
        <f>O8*S8</f>
        <v>2.5714285714285716</v>
      </c>
    </row>
    <row r="9" spans="2:20" x14ac:dyDescent="0.2">
      <c r="F9" s="5"/>
      <c r="G9" s="6"/>
      <c r="H9" s="7" t="s">
        <v>14</v>
      </c>
      <c r="I9" s="8">
        <f>SUM(I8:I8)</f>
        <v>2.4300000000000002</v>
      </c>
      <c r="M9" s="1"/>
      <c r="N9" s="1"/>
      <c r="O9" s="1"/>
      <c r="P9" s="1"/>
      <c r="Q9" s="5"/>
      <c r="R9" s="6"/>
      <c r="S9" s="7" t="s">
        <v>14</v>
      </c>
      <c r="T9" s="8">
        <f>SUM(T8:T8)</f>
        <v>2.5714285714285716</v>
      </c>
    </row>
    <row r="10" spans="2:20" x14ac:dyDescent="0.2">
      <c r="B10" s="18" t="s">
        <v>15</v>
      </c>
      <c r="M10" s="18" t="s">
        <v>15</v>
      </c>
      <c r="N10" s="1"/>
      <c r="O10" s="1"/>
      <c r="P10" s="1"/>
      <c r="Q10" s="1"/>
      <c r="R10" s="1"/>
      <c r="S10" s="1"/>
      <c r="T10" s="1"/>
    </row>
    <row r="11" spans="2:20" ht="51" x14ac:dyDescent="0.2">
      <c r="B11" s="19" t="s">
        <v>3</v>
      </c>
      <c r="C11" s="19" t="s">
        <v>4</v>
      </c>
      <c r="D11" s="19" t="s">
        <v>82</v>
      </c>
      <c r="E11" s="19" t="s">
        <v>83</v>
      </c>
      <c r="F11" s="19" t="s">
        <v>7</v>
      </c>
      <c r="G11" s="19" t="s">
        <v>8</v>
      </c>
      <c r="H11" s="19" t="s">
        <v>86</v>
      </c>
      <c r="I11" s="19" t="s">
        <v>26</v>
      </c>
      <c r="M11" s="19" t="s">
        <v>3</v>
      </c>
      <c r="N11" s="19" t="s">
        <v>4</v>
      </c>
      <c r="O11" s="19" t="s">
        <v>82</v>
      </c>
      <c r="P11" s="19" t="s">
        <v>83</v>
      </c>
      <c r="Q11" s="19" t="s">
        <v>7</v>
      </c>
      <c r="R11" s="19" t="s">
        <v>8</v>
      </c>
      <c r="S11" s="19" t="s">
        <v>85</v>
      </c>
      <c r="T11" s="19" t="s">
        <v>26</v>
      </c>
    </row>
    <row r="12" spans="2:20" x14ac:dyDescent="0.2">
      <c r="B12" s="2" t="s">
        <v>42</v>
      </c>
      <c r="C12" s="2" t="s">
        <v>43</v>
      </c>
      <c r="D12" s="25">
        <f>0.0333</f>
        <v>3.3300000000000003E-2</v>
      </c>
      <c r="E12" s="2">
        <v>1</v>
      </c>
      <c r="F12" s="2">
        <v>30</v>
      </c>
      <c r="G12" s="2">
        <v>4</v>
      </c>
      <c r="H12" s="2">
        <f>E12*F12*G12</f>
        <v>120</v>
      </c>
      <c r="I12" s="3">
        <f>D12*H12</f>
        <v>3.9960000000000004</v>
      </c>
      <c r="M12" s="2" t="s">
        <v>42</v>
      </c>
      <c r="N12" s="2" t="s">
        <v>43</v>
      </c>
      <c r="O12" s="63">
        <v>3.5095238095238096E-2</v>
      </c>
      <c r="P12" s="2">
        <v>1</v>
      </c>
      <c r="Q12" s="2">
        <v>30</v>
      </c>
      <c r="R12" s="2">
        <v>4</v>
      </c>
      <c r="S12" s="2">
        <f>P12*Q12*R12</f>
        <v>120</v>
      </c>
      <c r="T12" s="3">
        <f>O12*S12</f>
        <v>4.2114285714285717</v>
      </c>
    </row>
    <row r="13" spans="2:20" x14ac:dyDescent="0.2">
      <c r="F13" s="5"/>
      <c r="G13" s="6"/>
      <c r="H13" s="7" t="s">
        <v>48</v>
      </c>
      <c r="I13" s="8">
        <f>SUM(I12:I12)</f>
        <v>3.9960000000000004</v>
      </c>
      <c r="M13" s="1"/>
      <c r="N13" s="1"/>
      <c r="O13" s="1"/>
      <c r="P13" s="1"/>
      <c r="Q13" s="5"/>
      <c r="R13" s="6"/>
      <c r="S13" s="7" t="s">
        <v>48</v>
      </c>
      <c r="T13" s="8">
        <f>SUM(T12:T12)</f>
        <v>4.2114285714285717</v>
      </c>
    </row>
    <row r="14" spans="2:20" ht="13.5" thickBot="1" x14ac:dyDescent="0.25">
      <c r="M14" s="1"/>
      <c r="N14" s="1"/>
      <c r="O14" s="1"/>
      <c r="P14" s="1"/>
      <c r="Q14" s="1"/>
      <c r="R14" s="1"/>
      <c r="S14" s="1"/>
      <c r="T14" s="1"/>
    </row>
    <row r="15" spans="2:20" ht="13.5" thickBot="1" x14ac:dyDescent="0.25">
      <c r="H15" s="9" t="s">
        <v>39</v>
      </c>
      <c r="I15" s="11">
        <f>I9+I13</f>
        <v>6.4260000000000002</v>
      </c>
      <c r="M15" s="1"/>
      <c r="N15" s="1"/>
      <c r="O15" s="1"/>
      <c r="P15" s="1"/>
      <c r="Q15" s="1"/>
      <c r="R15" s="1"/>
      <c r="S15" s="9" t="s">
        <v>39</v>
      </c>
      <c r="T15" s="11">
        <f>T9+T13</f>
        <v>6.7828571428571429</v>
      </c>
    </row>
    <row r="16" spans="2:20" x14ac:dyDescent="0.2">
      <c r="H16" s="9"/>
      <c r="I16" s="10"/>
    </row>
    <row r="19" spans="13:14" x14ac:dyDescent="0.2">
      <c r="M19" s="1"/>
      <c r="N19" s="1"/>
    </row>
    <row r="20" spans="13:14" x14ac:dyDescent="0.2">
      <c r="M20" s="1"/>
      <c r="N20" s="1"/>
    </row>
  </sheetData>
  <mergeCells count="6">
    <mergeCell ref="B2:I2"/>
    <mergeCell ref="B3:I3"/>
    <mergeCell ref="B4:I4"/>
    <mergeCell ref="M2:T2"/>
    <mergeCell ref="M3:T3"/>
    <mergeCell ref="M4:T4"/>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95CBE-3F70-46EC-B4E1-05CCF2C94215}">
  <sheetPr>
    <tabColor theme="9" tint="0.59999389629810485"/>
  </sheetPr>
  <dimension ref="B2:T21"/>
  <sheetViews>
    <sheetView showGridLines="0" zoomScaleNormal="100" workbookViewId="0"/>
  </sheetViews>
  <sheetFormatPr defaultRowHeight="12.75" x14ac:dyDescent="0.2"/>
  <cols>
    <col min="2" max="2" width="21.28515625" style="1" customWidth="1"/>
    <col min="3" max="3" width="9" style="1" customWidth="1"/>
    <col min="4" max="4" width="9.5703125" style="1" customWidth="1"/>
    <col min="5" max="6" width="8.85546875" style="1" bestFit="1" customWidth="1"/>
    <col min="7" max="7" width="7.5703125" style="1" customWidth="1"/>
    <col min="8" max="8" width="14.42578125" style="1" customWidth="1"/>
    <col min="9" max="9" width="12.28515625" style="1" customWidth="1"/>
    <col min="11" max="11" width="9.140625" style="14"/>
    <col min="13" max="13" width="16.28515625" bestFit="1" customWidth="1"/>
    <col min="19" max="19" width="14.42578125" customWidth="1"/>
  </cols>
  <sheetData>
    <row r="2" spans="2:20" ht="15.75" x14ac:dyDescent="0.25">
      <c r="B2" s="122">
        <v>2018</v>
      </c>
      <c r="C2" s="122"/>
      <c r="D2" s="122"/>
      <c r="E2" s="122"/>
      <c r="F2" s="122"/>
      <c r="G2" s="122"/>
      <c r="H2" s="122"/>
      <c r="I2" s="122"/>
      <c r="M2" s="122">
        <v>2019</v>
      </c>
      <c r="N2" s="122"/>
      <c r="O2" s="122"/>
      <c r="P2" s="122"/>
      <c r="Q2" s="122"/>
      <c r="R2" s="122"/>
      <c r="S2" s="122"/>
      <c r="T2" s="122"/>
    </row>
    <row r="3" spans="2:20" ht="15.75" x14ac:dyDescent="0.25">
      <c r="B3" s="122" t="s">
        <v>68</v>
      </c>
      <c r="C3" s="122"/>
      <c r="D3" s="122"/>
      <c r="E3" s="122"/>
      <c r="F3" s="122"/>
      <c r="G3" s="122"/>
      <c r="H3" s="122"/>
      <c r="I3" s="122"/>
      <c r="M3" s="122" t="s">
        <v>68</v>
      </c>
      <c r="N3" s="122"/>
      <c r="O3" s="122"/>
      <c r="P3" s="122"/>
      <c r="Q3" s="122"/>
      <c r="R3" s="122"/>
      <c r="S3" s="122"/>
      <c r="T3" s="122"/>
    </row>
    <row r="4" spans="2:20" ht="15.75" x14ac:dyDescent="0.25">
      <c r="B4" s="122" t="s">
        <v>45</v>
      </c>
      <c r="C4" s="122"/>
      <c r="D4" s="122"/>
      <c r="E4" s="122"/>
      <c r="F4" s="122"/>
      <c r="G4" s="122"/>
      <c r="H4" s="122"/>
      <c r="I4" s="122"/>
      <c r="M4" s="122" t="s">
        <v>45</v>
      </c>
      <c r="N4" s="122"/>
      <c r="O4" s="122"/>
      <c r="P4" s="122"/>
      <c r="Q4" s="122"/>
      <c r="R4" s="122"/>
      <c r="S4" s="122"/>
      <c r="T4" s="122"/>
    </row>
    <row r="5" spans="2:20" x14ac:dyDescent="0.2">
      <c r="M5" s="1"/>
      <c r="N5" s="1"/>
      <c r="O5" s="1"/>
      <c r="P5" s="1"/>
      <c r="Q5" s="1"/>
      <c r="R5" s="1"/>
      <c r="S5" s="1"/>
      <c r="T5" s="1"/>
    </row>
    <row r="6" spans="2:20" x14ac:dyDescent="0.2">
      <c r="B6" s="16" t="s">
        <v>2</v>
      </c>
      <c r="M6" s="16" t="s">
        <v>2</v>
      </c>
      <c r="N6" s="1"/>
      <c r="O6" s="1"/>
      <c r="P6" s="1"/>
      <c r="Q6" s="1"/>
      <c r="R6" s="1"/>
      <c r="S6" s="1"/>
      <c r="T6" s="1"/>
    </row>
    <row r="7" spans="2:20" ht="51" x14ac:dyDescent="0.2">
      <c r="B7" s="17" t="s">
        <v>3</v>
      </c>
      <c r="C7" s="17" t="s">
        <v>4</v>
      </c>
      <c r="D7" s="17" t="s">
        <v>82</v>
      </c>
      <c r="E7" s="17" t="s">
        <v>83</v>
      </c>
      <c r="F7" s="17" t="s">
        <v>7</v>
      </c>
      <c r="G7" s="17" t="s">
        <v>8</v>
      </c>
      <c r="H7" s="17" t="s">
        <v>85</v>
      </c>
      <c r="I7" s="17" t="s">
        <v>10</v>
      </c>
      <c r="M7" s="17" t="s">
        <v>3</v>
      </c>
      <c r="N7" s="17" t="s">
        <v>4</v>
      </c>
      <c r="O7" s="17" t="s">
        <v>82</v>
      </c>
      <c r="P7" s="17" t="s">
        <v>83</v>
      </c>
      <c r="Q7" s="17" t="s">
        <v>7</v>
      </c>
      <c r="R7" s="17" t="s">
        <v>8</v>
      </c>
      <c r="S7" s="17" t="s">
        <v>87</v>
      </c>
      <c r="T7" s="17" t="s">
        <v>10</v>
      </c>
    </row>
    <row r="8" spans="2:20" x14ac:dyDescent="0.2">
      <c r="B8" s="2" t="s">
        <v>40</v>
      </c>
      <c r="C8" s="2" t="s">
        <v>44</v>
      </c>
      <c r="D8" s="24">
        <f>3.4/84</f>
        <v>4.0476190476190478E-2</v>
      </c>
      <c r="E8" s="2">
        <v>2</v>
      </c>
      <c r="F8" s="2">
        <v>30</v>
      </c>
      <c r="G8" s="2">
        <v>2</v>
      </c>
      <c r="H8" s="2">
        <f>E8*F8*G8</f>
        <v>120</v>
      </c>
      <c r="I8" s="3">
        <f>D8*H8</f>
        <v>4.8571428571428577</v>
      </c>
      <c r="M8" s="2" t="s">
        <v>40</v>
      </c>
      <c r="N8" s="2" t="s">
        <v>44</v>
      </c>
      <c r="O8" s="63">
        <v>4.2857142857142858E-2</v>
      </c>
      <c r="P8" s="2">
        <v>2</v>
      </c>
      <c r="Q8" s="2">
        <v>30</v>
      </c>
      <c r="R8" s="2">
        <v>2</v>
      </c>
      <c r="S8" s="2">
        <f>P8*Q8*R8</f>
        <v>120</v>
      </c>
      <c r="T8" s="3">
        <f>O8*S8</f>
        <v>5.1428571428571432</v>
      </c>
    </row>
    <row r="9" spans="2:20" x14ac:dyDescent="0.2">
      <c r="F9" s="5"/>
      <c r="G9" s="6"/>
      <c r="H9" s="7" t="s">
        <v>14</v>
      </c>
      <c r="I9" s="8">
        <f>SUM(I8:I8)</f>
        <v>4.8571428571428577</v>
      </c>
      <c r="M9" s="1"/>
      <c r="N9" s="1"/>
      <c r="O9" s="1"/>
      <c r="P9" s="1"/>
      <c r="Q9" s="5"/>
      <c r="R9" s="6"/>
      <c r="S9" s="7" t="s">
        <v>14</v>
      </c>
      <c r="T9" s="8">
        <f>SUM(T8:T8)</f>
        <v>5.1428571428571432</v>
      </c>
    </row>
    <row r="10" spans="2:20" x14ac:dyDescent="0.2">
      <c r="B10" s="18" t="s">
        <v>15</v>
      </c>
      <c r="M10" s="18" t="s">
        <v>15</v>
      </c>
      <c r="N10" s="1"/>
      <c r="O10" s="1"/>
      <c r="P10" s="1"/>
      <c r="Q10" s="1"/>
      <c r="R10" s="1"/>
      <c r="S10" s="1"/>
      <c r="T10" s="1"/>
    </row>
    <row r="11" spans="2:20" ht="51" x14ac:dyDescent="0.2">
      <c r="B11" s="19" t="s">
        <v>3</v>
      </c>
      <c r="C11" s="19" t="s">
        <v>4</v>
      </c>
      <c r="D11" s="19" t="s">
        <v>82</v>
      </c>
      <c r="E11" s="19" t="s">
        <v>83</v>
      </c>
      <c r="F11" s="19" t="s">
        <v>7</v>
      </c>
      <c r="G11" s="19" t="s">
        <v>8</v>
      </c>
      <c r="H11" s="19" t="s">
        <v>85</v>
      </c>
      <c r="I11" s="19" t="s">
        <v>26</v>
      </c>
      <c r="M11" s="19" t="s">
        <v>3</v>
      </c>
      <c r="N11" s="19" t="s">
        <v>4</v>
      </c>
      <c r="O11" s="19" t="s">
        <v>82</v>
      </c>
      <c r="P11" s="19" t="s">
        <v>83</v>
      </c>
      <c r="Q11" s="19" t="s">
        <v>7</v>
      </c>
      <c r="R11" s="19" t="s">
        <v>8</v>
      </c>
      <c r="S11" s="19" t="s">
        <v>85</v>
      </c>
      <c r="T11" s="19" t="s">
        <v>26</v>
      </c>
    </row>
    <row r="12" spans="2:20" x14ac:dyDescent="0.2">
      <c r="B12" s="2" t="s">
        <v>42</v>
      </c>
      <c r="C12" s="2" t="s">
        <v>43</v>
      </c>
      <c r="D12" s="24">
        <f>2.8/84</f>
        <v>3.3333333333333333E-2</v>
      </c>
      <c r="E12" s="2">
        <v>2</v>
      </c>
      <c r="F12" s="2">
        <v>30</v>
      </c>
      <c r="G12" s="2">
        <v>4</v>
      </c>
      <c r="H12" s="2">
        <f>E12*F12*G12</f>
        <v>240</v>
      </c>
      <c r="I12" s="3">
        <f>D12*H12</f>
        <v>8</v>
      </c>
      <c r="M12" s="2" t="s">
        <v>42</v>
      </c>
      <c r="N12" s="2" t="s">
        <v>43</v>
      </c>
      <c r="O12" s="63">
        <v>3.5095238095238096E-2</v>
      </c>
      <c r="P12" s="2">
        <v>2</v>
      </c>
      <c r="Q12" s="2">
        <v>30</v>
      </c>
      <c r="R12" s="2">
        <v>4</v>
      </c>
      <c r="S12" s="2">
        <f>P12*Q12*R12</f>
        <v>240</v>
      </c>
      <c r="T12" s="3">
        <f>O12*S12</f>
        <v>8.4228571428571435</v>
      </c>
    </row>
    <row r="13" spans="2:20" x14ac:dyDescent="0.2">
      <c r="F13" s="5"/>
      <c r="G13" s="6"/>
      <c r="H13" s="7" t="s">
        <v>48</v>
      </c>
      <c r="I13" s="8">
        <f>SUM(I12:I12)</f>
        <v>8</v>
      </c>
      <c r="M13" s="1"/>
      <c r="N13" s="1"/>
      <c r="O13" s="1"/>
      <c r="P13" s="1"/>
      <c r="Q13" s="5"/>
      <c r="R13" s="6"/>
      <c r="S13" s="7" t="s">
        <v>48</v>
      </c>
      <c r="T13" s="8">
        <f>SUM(T12:T12)</f>
        <v>8.4228571428571435</v>
      </c>
    </row>
    <row r="14" spans="2:20" ht="13.5" thickBot="1" x14ac:dyDescent="0.25">
      <c r="M14" s="1"/>
      <c r="N14" s="1"/>
      <c r="O14" s="1"/>
      <c r="P14" s="1"/>
      <c r="Q14" s="1"/>
      <c r="R14" s="1"/>
      <c r="S14" s="1"/>
      <c r="T14" s="1"/>
    </row>
    <row r="15" spans="2:20" ht="13.5" thickBot="1" x14ac:dyDescent="0.25">
      <c r="H15" s="9" t="s">
        <v>39</v>
      </c>
      <c r="I15" s="11">
        <f>I9+I13</f>
        <v>12.857142857142858</v>
      </c>
      <c r="M15" s="1"/>
      <c r="N15" s="1"/>
      <c r="O15" s="1"/>
      <c r="P15" s="1"/>
      <c r="Q15" s="1"/>
      <c r="R15" s="1"/>
      <c r="S15" s="9" t="s">
        <v>39</v>
      </c>
      <c r="T15" s="11">
        <f>T9+T13</f>
        <v>13.565714285714286</v>
      </c>
    </row>
    <row r="16" spans="2:20" x14ac:dyDescent="0.2">
      <c r="H16" s="9"/>
      <c r="I16" s="10"/>
    </row>
    <row r="20" spans="13:14" x14ac:dyDescent="0.2">
      <c r="M20" s="1"/>
      <c r="N20" s="1"/>
    </row>
    <row r="21" spans="13:14" x14ac:dyDescent="0.2">
      <c r="M21" s="1"/>
      <c r="N21" s="1"/>
    </row>
  </sheetData>
  <mergeCells count="6">
    <mergeCell ref="B2:I2"/>
    <mergeCell ref="B3:I3"/>
    <mergeCell ref="B4:I4"/>
    <mergeCell ref="M2:T2"/>
    <mergeCell ref="M3:T3"/>
    <mergeCell ref="M4:T4"/>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8978A-49C5-4985-BB60-6DC432097678}">
  <sheetPr>
    <tabColor theme="9" tint="0.59999389629810485"/>
  </sheetPr>
  <dimension ref="B1:T21"/>
  <sheetViews>
    <sheetView showGridLines="0" zoomScaleNormal="100" workbookViewId="0"/>
  </sheetViews>
  <sheetFormatPr defaultRowHeight="12.75" x14ac:dyDescent="0.2"/>
  <cols>
    <col min="2" max="2" width="21.28515625" style="1" customWidth="1"/>
    <col min="3" max="3" width="9" style="1" customWidth="1"/>
    <col min="4" max="4" width="9.5703125" style="1" customWidth="1"/>
    <col min="5" max="6" width="8.85546875" style="1" bestFit="1" customWidth="1"/>
    <col min="7" max="7" width="7.5703125" style="1" customWidth="1"/>
    <col min="8" max="8" width="14.42578125" style="1" customWidth="1"/>
    <col min="9" max="9" width="12.28515625" style="1" customWidth="1"/>
    <col min="11" max="11" width="9.140625" style="14"/>
    <col min="13" max="13" width="16.28515625" bestFit="1" customWidth="1"/>
    <col min="19" max="19" width="14.42578125" customWidth="1"/>
  </cols>
  <sheetData>
    <row r="1" spans="2:20" x14ac:dyDescent="0.2">
      <c r="M1" s="1"/>
      <c r="N1" s="1"/>
      <c r="O1" s="1"/>
      <c r="P1" s="1"/>
      <c r="Q1" s="1"/>
      <c r="R1" s="1"/>
      <c r="S1" s="1"/>
      <c r="T1" s="1"/>
    </row>
    <row r="2" spans="2:20" ht="15.75" x14ac:dyDescent="0.25">
      <c r="B2" s="122">
        <v>2018</v>
      </c>
      <c r="C2" s="122"/>
      <c r="D2" s="122"/>
      <c r="E2" s="122"/>
      <c r="F2" s="122"/>
      <c r="G2" s="122"/>
      <c r="H2" s="122"/>
      <c r="I2" s="122"/>
      <c r="M2" s="122">
        <v>2019</v>
      </c>
      <c r="N2" s="122"/>
      <c r="O2" s="122"/>
      <c r="P2" s="122"/>
      <c r="Q2" s="122"/>
      <c r="R2" s="122"/>
      <c r="S2" s="122"/>
      <c r="T2" s="122"/>
    </row>
    <row r="3" spans="2:20" ht="15.75" x14ac:dyDescent="0.25">
      <c r="B3" s="122" t="s">
        <v>68</v>
      </c>
      <c r="C3" s="122"/>
      <c r="D3" s="122"/>
      <c r="E3" s="122"/>
      <c r="F3" s="122"/>
      <c r="G3" s="122"/>
      <c r="H3" s="122"/>
      <c r="I3" s="122"/>
      <c r="M3" s="122" t="s">
        <v>68</v>
      </c>
      <c r="N3" s="122"/>
      <c r="O3" s="122"/>
      <c r="P3" s="122"/>
      <c r="Q3" s="122"/>
      <c r="R3" s="122"/>
      <c r="S3" s="122"/>
      <c r="T3" s="122"/>
    </row>
    <row r="4" spans="2:20" ht="15.75" x14ac:dyDescent="0.25">
      <c r="B4" s="122" t="s">
        <v>46</v>
      </c>
      <c r="C4" s="122"/>
      <c r="D4" s="122"/>
      <c r="E4" s="122"/>
      <c r="F4" s="122"/>
      <c r="G4" s="122"/>
      <c r="H4" s="122"/>
      <c r="I4" s="122"/>
      <c r="M4" s="122" t="s">
        <v>46</v>
      </c>
      <c r="N4" s="122"/>
      <c r="O4" s="122"/>
      <c r="P4" s="122"/>
      <c r="Q4" s="122"/>
      <c r="R4" s="122"/>
      <c r="S4" s="122"/>
      <c r="T4" s="122"/>
    </row>
    <row r="5" spans="2:20" x14ac:dyDescent="0.2">
      <c r="M5" s="1"/>
      <c r="N5" s="1"/>
      <c r="O5" s="1"/>
      <c r="P5" s="1"/>
      <c r="Q5" s="1"/>
      <c r="R5" s="1"/>
      <c r="S5" s="1"/>
      <c r="T5" s="1"/>
    </row>
    <row r="6" spans="2:20" x14ac:dyDescent="0.2">
      <c r="B6" s="16" t="s">
        <v>2</v>
      </c>
      <c r="M6" s="16" t="s">
        <v>2</v>
      </c>
      <c r="N6" s="1"/>
      <c r="O6" s="1"/>
      <c r="P6" s="1"/>
      <c r="Q6" s="1"/>
      <c r="R6" s="1"/>
      <c r="S6" s="1"/>
      <c r="T6" s="1"/>
    </row>
    <row r="7" spans="2:20" ht="51" x14ac:dyDescent="0.2">
      <c r="B7" s="17" t="s">
        <v>3</v>
      </c>
      <c r="C7" s="17" t="s">
        <v>4</v>
      </c>
      <c r="D7" s="17" t="s">
        <v>82</v>
      </c>
      <c r="E7" s="17" t="s">
        <v>83</v>
      </c>
      <c r="F7" s="17" t="s">
        <v>7</v>
      </c>
      <c r="G7" s="17" t="s">
        <v>8</v>
      </c>
      <c r="H7" s="17" t="s">
        <v>85</v>
      </c>
      <c r="I7" s="17" t="s">
        <v>10</v>
      </c>
      <c r="M7" s="17" t="s">
        <v>3</v>
      </c>
      <c r="N7" s="17" t="s">
        <v>4</v>
      </c>
      <c r="O7" s="17" t="s">
        <v>82</v>
      </c>
      <c r="P7" s="17" t="s">
        <v>6</v>
      </c>
      <c r="Q7" s="17" t="s">
        <v>7</v>
      </c>
      <c r="R7" s="17" t="s">
        <v>8</v>
      </c>
      <c r="S7" s="17" t="s">
        <v>87</v>
      </c>
      <c r="T7" s="17" t="s">
        <v>10</v>
      </c>
    </row>
    <row r="8" spans="2:20" x14ac:dyDescent="0.2">
      <c r="B8" s="2" t="s">
        <v>40</v>
      </c>
      <c r="C8" s="2" t="s">
        <v>44</v>
      </c>
      <c r="D8" s="24">
        <f>3.4/84</f>
        <v>4.0476190476190478E-2</v>
      </c>
      <c r="E8" s="2">
        <v>3</v>
      </c>
      <c r="F8" s="2">
        <v>30</v>
      </c>
      <c r="G8" s="2">
        <v>2</v>
      </c>
      <c r="H8" s="2">
        <f>E8*F8*G8</f>
        <v>180</v>
      </c>
      <c r="I8" s="3">
        <f>D8*H8</f>
        <v>7.2857142857142865</v>
      </c>
      <c r="M8" s="2" t="s">
        <v>40</v>
      </c>
      <c r="N8" s="2" t="s">
        <v>44</v>
      </c>
      <c r="O8" s="63">
        <v>4.2857142857142858E-2</v>
      </c>
      <c r="P8" s="2">
        <v>3</v>
      </c>
      <c r="Q8" s="2">
        <v>30</v>
      </c>
      <c r="R8" s="2">
        <v>2</v>
      </c>
      <c r="S8" s="2">
        <f>P8*Q8*R8</f>
        <v>180</v>
      </c>
      <c r="T8" s="3">
        <f>O8*S8</f>
        <v>7.7142857142857144</v>
      </c>
    </row>
    <row r="9" spans="2:20" x14ac:dyDescent="0.2">
      <c r="F9" s="5"/>
      <c r="G9" s="6"/>
      <c r="H9" s="7" t="s">
        <v>14</v>
      </c>
      <c r="I9" s="8">
        <f>SUM(I8:I8)</f>
        <v>7.2857142857142865</v>
      </c>
      <c r="M9" s="1"/>
      <c r="N9" s="1"/>
      <c r="O9" s="1"/>
      <c r="P9" s="1"/>
      <c r="Q9" s="5"/>
      <c r="R9" s="6"/>
      <c r="S9" s="7" t="s">
        <v>14</v>
      </c>
      <c r="T9" s="8">
        <f>SUM(T8:T8)</f>
        <v>7.7142857142857144</v>
      </c>
    </row>
    <row r="10" spans="2:20" x14ac:dyDescent="0.2">
      <c r="B10" s="18" t="s">
        <v>15</v>
      </c>
      <c r="M10" s="18" t="s">
        <v>15</v>
      </c>
      <c r="N10" s="1"/>
      <c r="O10" s="1"/>
      <c r="P10" s="1"/>
      <c r="Q10" s="1"/>
      <c r="R10" s="1"/>
      <c r="S10" s="1"/>
      <c r="T10" s="1"/>
    </row>
    <row r="11" spans="2:20" ht="51" x14ac:dyDescent="0.2">
      <c r="B11" s="19" t="s">
        <v>3</v>
      </c>
      <c r="C11" s="19" t="s">
        <v>4</v>
      </c>
      <c r="D11" s="19" t="s">
        <v>82</v>
      </c>
      <c r="E11" s="19" t="s">
        <v>83</v>
      </c>
      <c r="F11" s="19" t="s">
        <v>7</v>
      </c>
      <c r="G11" s="19" t="s">
        <v>8</v>
      </c>
      <c r="H11" s="19" t="s">
        <v>85</v>
      </c>
      <c r="I11" s="19" t="s">
        <v>26</v>
      </c>
      <c r="M11" s="19" t="s">
        <v>3</v>
      </c>
      <c r="N11" s="19" t="s">
        <v>4</v>
      </c>
      <c r="O11" s="19" t="s">
        <v>82</v>
      </c>
      <c r="P11" s="19" t="s">
        <v>83</v>
      </c>
      <c r="Q11" s="19" t="s">
        <v>7</v>
      </c>
      <c r="R11" s="19" t="s">
        <v>8</v>
      </c>
      <c r="S11" s="19" t="s">
        <v>87</v>
      </c>
      <c r="T11" s="19" t="s">
        <v>26</v>
      </c>
    </row>
    <row r="12" spans="2:20" x14ac:dyDescent="0.2">
      <c r="B12" s="2" t="s">
        <v>42</v>
      </c>
      <c r="C12" s="2" t="s">
        <v>43</v>
      </c>
      <c r="D12" s="24">
        <f>2.8/84</f>
        <v>3.3333333333333333E-2</v>
      </c>
      <c r="E12" s="2">
        <v>3</v>
      </c>
      <c r="F12" s="2">
        <v>30</v>
      </c>
      <c r="G12" s="2">
        <v>4</v>
      </c>
      <c r="H12" s="2">
        <f>E12*F12*G12</f>
        <v>360</v>
      </c>
      <c r="I12" s="3">
        <f>D12*H12</f>
        <v>12</v>
      </c>
      <c r="M12" s="2" t="s">
        <v>42</v>
      </c>
      <c r="N12" s="2" t="s">
        <v>43</v>
      </c>
      <c r="O12" s="63">
        <v>3.5095238095238096E-2</v>
      </c>
      <c r="P12" s="2">
        <v>3</v>
      </c>
      <c r="Q12" s="2">
        <v>30</v>
      </c>
      <c r="R12" s="2">
        <v>4</v>
      </c>
      <c r="S12" s="2">
        <f>P12*Q12*R12</f>
        <v>360</v>
      </c>
      <c r="T12" s="3">
        <f>O12*S12</f>
        <v>12.634285714285715</v>
      </c>
    </row>
    <row r="13" spans="2:20" x14ac:dyDescent="0.2">
      <c r="F13" s="5"/>
      <c r="G13" s="6"/>
      <c r="H13" s="7" t="s">
        <v>48</v>
      </c>
      <c r="I13" s="8">
        <f>SUM(I12:I12)</f>
        <v>12</v>
      </c>
      <c r="M13" s="1"/>
      <c r="N13" s="1"/>
      <c r="O13" s="1"/>
      <c r="P13" s="1"/>
      <c r="Q13" s="5"/>
      <c r="R13" s="6"/>
      <c r="S13" s="7" t="s">
        <v>48</v>
      </c>
      <c r="T13" s="8">
        <f>SUM(T12:T12)</f>
        <v>12.634285714285715</v>
      </c>
    </row>
    <row r="14" spans="2:20" ht="13.5" thickBot="1" x14ac:dyDescent="0.25">
      <c r="M14" s="1"/>
      <c r="N14" s="1"/>
      <c r="O14" s="1"/>
      <c r="P14" s="1"/>
      <c r="Q14" s="1"/>
      <c r="R14" s="1"/>
      <c r="S14" s="1"/>
      <c r="T14" s="1"/>
    </row>
    <row r="15" spans="2:20" ht="13.5" thickBot="1" x14ac:dyDescent="0.25">
      <c r="H15" s="9" t="s">
        <v>39</v>
      </c>
      <c r="I15" s="11">
        <f>I9+I13</f>
        <v>19.285714285714285</v>
      </c>
      <c r="M15" s="1"/>
      <c r="N15" s="1"/>
      <c r="O15" s="1"/>
      <c r="P15" s="1"/>
      <c r="Q15" s="1"/>
      <c r="R15" s="1"/>
      <c r="S15" s="9" t="s">
        <v>39</v>
      </c>
      <c r="T15" s="11">
        <f>T9+T13</f>
        <v>20.348571428571429</v>
      </c>
    </row>
    <row r="16" spans="2:20" x14ac:dyDescent="0.2">
      <c r="H16" s="9"/>
      <c r="I16" s="10"/>
    </row>
    <row r="20" spans="13:14" x14ac:dyDescent="0.2">
      <c r="M20" s="1"/>
      <c r="N20" s="1"/>
    </row>
    <row r="21" spans="13:14" x14ac:dyDescent="0.2">
      <c r="M21" s="1"/>
      <c r="N21" s="1"/>
    </row>
  </sheetData>
  <mergeCells count="6">
    <mergeCell ref="B2:I2"/>
    <mergeCell ref="B3:I3"/>
    <mergeCell ref="B4:I4"/>
    <mergeCell ref="M2:T2"/>
    <mergeCell ref="M3:T3"/>
    <mergeCell ref="M4:T4"/>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6CAFF-4A8E-4187-BA28-66A0FEEBA59D}">
  <sheetPr>
    <tabColor theme="9" tint="0.59999389629810485"/>
  </sheetPr>
  <dimension ref="B1:T21"/>
  <sheetViews>
    <sheetView showGridLines="0" zoomScaleNormal="100" workbookViewId="0"/>
  </sheetViews>
  <sheetFormatPr defaultRowHeight="12.75" x14ac:dyDescent="0.2"/>
  <cols>
    <col min="2" max="2" width="21.28515625" style="1" customWidth="1"/>
    <col min="3" max="3" width="9" style="1" customWidth="1"/>
    <col min="4" max="4" width="9.5703125" style="1" customWidth="1"/>
    <col min="5" max="6" width="8.85546875" style="1" bestFit="1" customWidth="1"/>
    <col min="7" max="7" width="7.5703125" style="1" customWidth="1"/>
    <col min="8" max="8" width="14.42578125" style="1" customWidth="1"/>
    <col min="9" max="9" width="12.28515625" style="1" customWidth="1"/>
    <col min="11" max="11" width="9.140625" style="14"/>
    <col min="13" max="13" width="16.28515625" bestFit="1" customWidth="1"/>
    <col min="19" max="19" width="14.42578125" customWidth="1"/>
  </cols>
  <sheetData>
    <row r="1" spans="2:20" x14ac:dyDescent="0.2">
      <c r="M1" s="1"/>
      <c r="N1" s="1"/>
      <c r="O1" s="1"/>
      <c r="P1" s="1"/>
      <c r="Q1" s="1"/>
      <c r="R1" s="1"/>
      <c r="S1" s="1"/>
      <c r="T1" s="1"/>
    </row>
    <row r="2" spans="2:20" ht="15.75" x14ac:dyDescent="0.25">
      <c r="B2" s="122">
        <v>2018</v>
      </c>
      <c r="C2" s="122"/>
      <c r="D2" s="122"/>
      <c r="E2" s="122"/>
      <c r="F2" s="122"/>
      <c r="G2" s="122"/>
      <c r="H2" s="122"/>
      <c r="I2" s="122"/>
      <c r="M2" s="122">
        <v>2019</v>
      </c>
      <c r="N2" s="122"/>
      <c r="O2" s="122"/>
      <c r="P2" s="122"/>
      <c r="Q2" s="122"/>
      <c r="R2" s="122"/>
      <c r="S2" s="122"/>
      <c r="T2" s="122"/>
    </row>
    <row r="3" spans="2:20" ht="15.75" x14ac:dyDescent="0.25">
      <c r="B3" s="122" t="s">
        <v>68</v>
      </c>
      <c r="C3" s="122"/>
      <c r="D3" s="122"/>
      <c r="E3" s="122"/>
      <c r="F3" s="122"/>
      <c r="G3" s="122"/>
      <c r="H3" s="122"/>
      <c r="I3" s="122"/>
      <c r="M3" s="122" t="s">
        <v>68</v>
      </c>
      <c r="N3" s="122"/>
      <c r="O3" s="122"/>
      <c r="P3" s="122"/>
      <c r="Q3" s="122"/>
      <c r="R3" s="122"/>
      <c r="S3" s="122"/>
      <c r="T3" s="122"/>
    </row>
    <row r="4" spans="2:20" ht="15.75" x14ac:dyDescent="0.25">
      <c r="B4" s="122" t="s">
        <v>47</v>
      </c>
      <c r="C4" s="122"/>
      <c r="D4" s="122"/>
      <c r="E4" s="122"/>
      <c r="F4" s="122"/>
      <c r="G4" s="122"/>
      <c r="H4" s="122"/>
      <c r="I4" s="122"/>
      <c r="M4" s="122" t="s">
        <v>47</v>
      </c>
      <c r="N4" s="122"/>
      <c r="O4" s="122"/>
      <c r="P4" s="122"/>
      <c r="Q4" s="122"/>
      <c r="R4" s="122"/>
      <c r="S4" s="122"/>
      <c r="T4" s="122"/>
    </row>
    <row r="5" spans="2:20" x14ac:dyDescent="0.2">
      <c r="M5" s="1"/>
      <c r="N5" s="1"/>
      <c r="O5" s="1"/>
      <c r="P5" s="1"/>
      <c r="Q5" s="1"/>
      <c r="R5" s="1"/>
      <c r="S5" s="1"/>
      <c r="T5" s="1"/>
    </row>
    <row r="6" spans="2:20" x14ac:dyDescent="0.2">
      <c r="B6" s="16" t="s">
        <v>2</v>
      </c>
      <c r="M6" s="16" t="s">
        <v>2</v>
      </c>
      <c r="N6" s="1"/>
      <c r="O6" s="1"/>
      <c r="P6" s="1"/>
      <c r="Q6" s="1"/>
      <c r="R6" s="1"/>
      <c r="S6" s="1"/>
      <c r="T6" s="1"/>
    </row>
    <row r="7" spans="2:20" ht="51" x14ac:dyDescent="0.2">
      <c r="B7" s="17" t="s">
        <v>3</v>
      </c>
      <c r="C7" s="17" t="s">
        <v>4</v>
      </c>
      <c r="D7" s="17" t="s">
        <v>82</v>
      </c>
      <c r="E7" s="17" t="s">
        <v>83</v>
      </c>
      <c r="F7" s="17" t="s">
        <v>7</v>
      </c>
      <c r="G7" s="17" t="s">
        <v>8</v>
      </c>
      <c r="H7" s="17" t="s">
        <v>85</v>
      </c>
      <c r="I7" s="17" t="s">
        <v>10</v>
      </c>
      <c r="M7" s="17" t="s">
        <v>3</v>
      </c>
      <c r="N7" s="17" t="s">
        <v>4</v>
      </c>
      <c r="O7" s="17" t="s">
        <v>82</v>
      </c>
      <c r="P7" s="17" t="s">
        <v>83</v>
      </c>
      <c r="Q7" s="17" t="s">
        <v>7</v>
      </c>
      <c r="R7" s="17" t="s">
        <v>8</v>
      </c>
      <c r="S7" s="17" t="s">
        <v>88</v>
      </c>
      <c r="T7" s="17" t="s">
        <v>10</v>
      </c>
    </row>
    <row r="8" spans="2:20" x14ac:dyDescent="0.2">
      <c r="B8" s="2" t="s">
        <v>40</v>
      </c>
      <c r="C8" s="2" t="s">
        <v>44</v>
      </c>
      <c r="D8" s="25">
        <f>3.4/84</f>
        <v>4.0476190476190478E-2</v>
      </c>
      <c r="E8" s="2">
        <v>4</v>
      </c>
      <c r="F8" s="2">
        <v>30</v>
      </c>
      <c r="G8" s="2">
        <v>2</v>
      </c>
      <c r="H8" s="2">
        <f>E8*F8*G8</f>
        <v>240</v>
      </c>
      <c r="I8" s="3">
        <f>D8*H8</f>
        <v>9.7142857142857153</v>
      </c>
      <c r="M8" s="2" t="s">
        <v>40</v>
      </c>
      <c r="N8" s="2" t="s">
        <v>44</v>
      </c>
      <c r="O8" s="63">
        <v>4.2857142857142858E-2</v>
      </c>
      <c r="P8" s="2">
        <v>4</v>
      </c>
      <c r="Q8" s="2">
        <v>30</v>
      </c>
      <c r="R8" s="2">
        <v>2</v>
      </c>
      <c r="S8" s="2">
        <f>P8*Q8*R8</f>
        <v>240</v>
      </c>
      <c r="T8" s="3">
        <f>O8*S8</f>
        <v>10.285714285714286</v>
      </c>
    </row>
    <row r="9" spans="2:20" x14ac:dyDescent="0.2">
      <c r="F9" s="5"/>
      <c r="G9" s="6"/>
      <c r="H9" s="7" t="s">
        <v>14</v>
      </c>
      <c r="I9" s="8">
        <f>SUM(I8:I8)</f>
        <v>9.7142857142857153</v>
      </c>
      <c r="M9" s="1"/>
      <c r="N9" s="1"/>
      <c r="O9" s="1"/>
      <c r="P9" s="1"/>
      <c r="Q9" s="5"/>
      <c r="R9" s="6"/>
      <c r="S9" s="7" t="s">
        <v>14</v>
      </c>
      <c r="T9" s="8">
        <f>SUM(T8:T8)</f>
        <v>10.285714285714286</v>
      </c>
    </row>
    <row r="10" spans="2:20" x14ac:dyDescent="0.2">
      <c r="B10" s="18" t="s">
        <v>15</v>
      </c>
      <c r="M10" s="18" t="s">
        <v>15</v>
      </c>
      <c r="N10" s="1"/>
      <c r="O10" s="1"/>
      <c r="P10" s="1"/>
      <c r="Q10" s="1"/>
      <c r="R10" s="1"/>
      <c r="S10" s="1"/>
      <c r="T10" s="1"/>
    </row>
    <row r="11" spans="2:20" ht="51" x14ac:dyDescent="0.2">
      <c r="B11" s="19" t="s">
        <v>3</v>
      </c>
      <c r="C11" s="19" t="s">
        <v>4</v>
      </c>
      <c r="D11" s="19" t="s">
        <v>82</v>
      </c>
      <c r="E11" s="19" t="s">
        <v>83</v>
      </c>
      <c r="F11" s="19" t="s">
        <v>7</v>
      </c>
      <c r="G11" s="19" t="s">
        <v>8</v>
      </c>
      <c r="H11" s="19" t="s">
        <v>85</v>
      </c>
      <c r="I11" s="19" t="s">
        <v>26</v>
      </c>
      <c r="M11" s="19" t="s">
        <v>3</v>
      </c>
      <c r="N11" s="19" t="s">
        <v>4</v>
      </c>
      <c r="O11" s="19" t="s">
        <v>82</v>
      </c>
      <c r="P11" s="19" t="s">
        <v>83</v>
      </c>
      <c r="Q11" s="19" t="s">
        <v>7</v>
      </c>
      <c r="R11" s="19" t="s">
        <v>8</v>
      </c>
      <c r="S11" s="19" t="s">
        <v>85</v>
      </c>
      <c r="T11" s="19" t="s">
        <v>26</v>
      </c>
    </row>
    <row r="12" spans="2:20" x14ac:dyDescent="0.2">
      <c r="B12" s="2" t="s">
        <v>42</v>
      </c>
      <c r="C12" s="2" t="s">
        <v>43</v>
      </c>
      <c r="D12" s="25">
        <f>2.8/84</f>
        <v>3.3333333333333333E-2</v>
      </c>
      <c r="E12" s="2">
        <v>4</v>
      </c>
      <c r="F12" s="2">
        <v>30</v>
      </c>
      <c r="G12" s="2">
        <v>4</v>
      </c>
      <c r="H12" s="2">
        <f>E12*F12*G12</f>
        <v>480</v>
      </c>
      <c r="I12" s="3">
        <f>D12*H12</f>
        <v>16</v>
      </c>
      <c r="M12" s="2" t="s">
        <v>42</v>
      </c>
      <c r="N12" s="2" t="s">
        <v>43</v>
      </c>
      <c r="O12" s="63">
        <v>3.5095238095238096E-2</v>
      </c>
      <c r="P12" s="2">
        <v>4</v>
      </c>
      <c r="Q12" s="2">
        <v>30</v>
      </c>
      <c r="R12" s="2">
        <v>4</v>
      </c>
      <c r="S12" s="2">
        <f>P12*Q12*R12</f>
        <v>480</v>
      </c>
      <c r="T12" s="3">
        <f>O12*S12</f>
        <v>16.845714285714287</v>
      </c>
    </row>
    <row r="13" spans="2:20" x14ac:dyDescent="0.2">
      <c r="F13" s="5"/>
      <c r="G13" s="6"/>
      <c r="H13" s="7" t="s">
        <v>48</v>
      </c>
      <c r="I13" s="8">
        <f>SUM(I12:I12)</f>
        <v>16</v>
      </c>
      <c r="M13" s="1"/>
      <c r="N13" s="1"/>
      <c r="O13" s="1"/>
      <c r="P13" s="1"/>
      <c r="Q13" s="5"/>
      <c r="R13" s="6"/>
      <c r="S13" s="7" t="s">
        <v>48</v>
      </c>
      <c r="T13" s="8">
        <f>SUM(T12:T12)</f>
        <v>16.845714285714287</v>
      </c>
    </row>
    <row r="14" spans="2:20" ht="13.5" thickBot="1" x14ac:dyDescent="0.25">
      <c r="M14" s="1"/>
      <c r="N14" s="1"/>
      <c r="O14" s="1"/>
      <c r="P14" s="1"/>
      <c r="Q14" s="1"/>
      <c r="R14" s="1"/>
      <c r="S14" s="1"/>
      <c r="T14" s="1"/>
    </row>
    <row r="15" spans="2:20" ht="13.5" thickBot="1" x14ac:dyDescent="0.25">
      <c r="H15" s="9" t="s">
        <v>39</v>
      </c>
      <c r="I15" s="11">
        <f>I9+I13</f>
        <v>25.714285714285715</v>
      </c>
      <c r="M15" s="1"/>
      <c r="N15" s="1"/>
      <c r="O15" s="1"/>
      <c r="P15" s="1"/>
      <c r="Q15" s="1"/>
      <c r="R15" s="1"/>
      <c r="S15" s="9" t="s">
        <v>39</v>
      </c>
      <c r="T15" s="11">
        <f>T9+T13</f>
        <v>27.131428571428572</v>
      </c>
    </row>
    <row r="16" spans="2:20" x14ac:dyDescent="0.2">
      <c r="H16" s="9"/>
      <c r="I16" s="10"/>
    </row>
    <row r="20" spans="13:14" x14ac:dyDescent="0.2">
      <c r="M20" s="1"/>
      <c r="N20" s="1"/>
    </row>
    <row r="21" spans="13:14" x14ac:dyDescent="0.2">
      <c r="M21" s="1"/>
      <c r="N21" s="1"/>
    </row>
  </sheetData>
  <mergeCells count="6">
    <mergeCell ref="B2:I2"/>
    <mergeCell ref="B3:I3"/>
    <mergeCell ref="B4:I4"/>
    <mergeCell ref="M2:T2"/>
    <mergeCell ref="M3:T3"/>
    <mergeCell ref="M4:T4"/>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6D19E-41A3-4257-A6AF-65C2277D16ED}">
  <sheetPr>
    <tabColor theme="6" tint="0.59999389629810485"/>
  </sheetPr>
  <dimension ref="B1:T18"/>
  <sheetViews>
    <sheetView showGridLines="0" workbookViewId="0">
      <selection activeCell="P26" sqref="P26"/>
    </sheetView>
  </sheetViews>
  <sheetFormatPr defaultRowHeight="12.75" x14ac:dyDescent="0.2"/>
  <cols>
    <col min="2" max="2" width="21.28515625" style="1" customWidth="1"/>
    <col min="3" max="3" width="9" style="1" customWidth="1"/>
    <col min="4" max="4" width="9.5703125" style="1" customWidth="1"/>
    <col min="5" max="6" width="8.85546875" style="1" bestFit="1" customWidth="1"/>
    <col min="7" max="7" width="7.5703125" style="1" customWidth="1"/>
    <col min="8" max="8" width="14.5703125" style="1" customWidth="1"/>
    <col min="9" max="9" width="12.28515625" style="1" customWidth="1"/>
    <col min="11" max="11" width="9.140625" style="14"/>
    <col min="13" max="13" width="19.42578125" bestFit="1" customWidth="1"/>
    <col min="19" max="19" width="14.5703125" customWidth="1"/>
  </cols>
  <sheetData>
    <row r="1" spans="2:20" x14ac:dyDescent="0.2">
      <c r="M1" s="1"/>
      <c r="N1" s="1"/>
      <c r="O1" s="1"/>
      <c r="P1" s="1"/>
      <c r="Q1" s="1"/>
      <c r="R1" s="1"/>
      <c r="S1" s="1"/>
      <c r="T1" s="1"/>
    </row>
    <row r="2" spans="2:20" ht="15.75" x14ac:dyDescent="0.25">
      <c r="B2" s="122">
        <v>2018</v>
      </c>
      <c r="C2" s="122"/>
      <c r="D2" s="122"/>
      <c r="E2" s="122"/>
      <c r="F2" s="122"/>
      <c r="G2" s="122"/>
      <c r="H2" s="122"/>
      <c r="I2" s="122"/>
      <c r="M2" s="122">
        <v>2019</v>
      </c>
      <c r="N2" s="122"/>
      <c r="O2" s="122"/>
      <c r="P2" s="122"/>
      <c r="Q2" s="122"/>
      <c r="R2" s="122"/>
      <c r="S2" s="122"/>
      <c r="T2" s="122"/>
    </row>
    <row r="3" spans="2:20" ht="15.75" x14ac:dyDescent="0.25">
      <c r="B3" s="122" t="s">
        <v>69</v>
      </c>
      <c r="C3" s="122"/>
      <c r="D3" s="122"/>
      <c r="E3" s="122"/>
      <c r="F3" s="122"/>
      <c r="G3" s="122"/>
      <c r="H3" s="122"/>
      <c r="I3" s="122"/>
      <c r="M3" s="122" t="s">
        <v>69</v>
      </c>
      <c r="N3" s="122"/>
      <c r="O3" s="122"/>
      <c r="P3" s="122"/>
      <c r="Q3" s="122"/>
      <c r="R3" s="122"/>
      <c r="S3" s="122"/>
      <c r="T3" s="122"/>
    </row>
    <row r="4" spans="2:20" ht="15.75" x14ac:dyDescent="0.25">
      <c r="B4" s="122" t="s">
        <v>67</v>
      </c>
      <c r="C4" s="122"/>
      <c r="D4" s="122"/>
      <c r="E4" s="122"/>
      <c r="F4" s="122"/>
      <c r="G4" s="122"/>
      <c r="H4" s="122"/>
      <c r="I4" s="122"/>
      <c r="M4" s="122" t="s">
        <v>67</v>
      </c>
      <c r="N4" s="122"/>
      <c r="O4" s="122"/>
      <c r="P4" s="122"/>
      <c r="Q4" s="122"/>
      <c r="R4" s="122"/>
      <c r="S4" s="122"/>
      <c r="T4" s="122"/>
    </row>
    <row r="5" spans="2:20" x14ac:dyDescent="0.2">
      <c r="M5" s="1"/>
      <c r="N5" s="1"/>
      <c r="O5" s="1"/>
      <c r="P5" s="1"/>
      <c r="Q5" s="1"/>
      <c r="R5" s="1"/>
      <c r="S5" s="1"/>
      <c r="T5" s="1"/>
    </row>
    <row r="6" spans="2:20" x14ac:dyDescent="0.2">
      <c r="B6" s="16" t="s">
        <v>2</v>
      </c>
      <c r="M6" s="16" t="s">
        <v>2</v>
      </c>
      <c r="N6" s="1"/>
      <c r="O6" s="1"/>
      <c r="P6" s="1"/>
      <c r="Q6" s="1"/>
      <c r="R6" s="1"/>
      <c r="S6" s="1"/>
      <c r="T6" s="1"/>
    </row>
    <row r="7" spans="2:20" ht="51" x14ac:dyDescent="0.2">
      <c r="B7" s="17" t="s">
        <v>3</v>
      </c>
      <c r="C7" s="17" t="s">
        <v>4</v>
      </c>
      <c r="D7" s="17" t="s">
        <v>82</v>
      </c>
      <c r="E7" s="17" t="s">
        <v>83</v>
      </c>
      <c r="F7" s="17" t="s">
        <v>7</v>
      </c>
      <c r="G7" s="17" t="s">
        <v>8</v>
      </c>
      <c r="H7" s="17" t="s">
        <v>84</v>
      </c>
      <c r="I7" s="17" t="s">
        <v>10</v>
      </c>
      <c r="M7" s="17" t="s">
        <v>3</v>
      </c>
      <c r="N7" s="17" t="s">
        <v>4</v>
      </c>
      <c r="O7" s="17" t="s">
        <v>82</v>
      </c>
      <c r="P7" s="17" t="s">
        <v>83</v>
      </c>
      <c r="Q7" s="17" t="s">
        <v>7</v>
      </c>
      <c r="R7" s="17" t="s">
        <v>8</v>
      </c>
      <c r="S7" s="17" t="s">
        <v>85</v>
      </c>
      <c r="T7" s="17" t="s">
        <v>10</v>
      </c>
    </row>
    <row r="8" spans="2:20" x14ac:dyDescent="0.2">
      <c r="B8" s="2" t="s">
        <v>35</v>
      </c>
      <c r="C8" s="2" t="s">
        <v>36</v>
      </c>
      <c r="D8" s="25">
        <v>6.6199999999999995E-2</v>
      </c>
      <c r="E8" s="2">
        <v>2</v>
      </c>
      <c r="F8" s="2">
        <v>30</v>
      </c>
      <c r="G8" s="2">
        <v>2</v>
      </c>
      <c r="H8" s="2">
        <f>E8*F8*G8</f>
        <v>120</v>
      </c>
      <c r="I8" s="3">
        <f>D8*H8</f>
        <v>7.9439999999999991</v>
      </c>
      <c r="M8" s="2" t="s">
        <v>35</v>
      </c>
      <c r="N8" s="2" t="s">
        <v>36</v>
      </c>
      <c r="O8" s="63">
        <v>7.6740000000000003E-2</v>
      </c>
      <c r="P8" s="2">
        <v>2</v>
      </c>
      <c r="Q8" s="2">
        <v>30</v>
      </c>
      <c r="R8" s="2">
        <v>2</v>
      </c>
      <c r="S8" s="2">
        <f>P8*Q8*R8</f>
        <v>120</v>
      </c>
      <c r="T8" s="3">
        <f>O8*S8</f>
        <v>9.2088000000000001</v>
      </c>
    </row>
    <row r="9" spans="2:20" x14ac:dyDescent="0.2">
      <c r="F9" s="5"/>
      <c r="G9" s="6"/>
      <c r="H9" s="7" t="s">
        <v>14</v>
      </c>
      <c r="I9" s="8">
        <f>SUM(I8:I8)</f>
        <v>7.9439999999999991</v>
      </c>
      <c r="M9" s="1"/>
      <c r="N9" s="1"/>
      <c r="O9" s="1"/>
      <c r="P9" s="1"/>
      <c r="Q9" s="5"/>
      <c r="R9" s="6"/>
      <c r="S9" s="7" t="s">
        <v>14</v>
      </c>
      <c r="T9" s="8">
        <f>SUM(T8:T8)</f>
        <v>9.2088000000000001</v>
      </c>
    </row>
    <row r="10" spans="2:20" x14ac:dyDescent="0.2">
      <c r="B10" s="18" t="s">
        <v>15</v>
      </c>
      <c r="M10" s="18" t="s">
        <v>15</v>
      </c>
      <c r="N10" s="1"/>
      <c r="O10" s="1"/>
      <c r="P10" s="1"/>
      <c r="Q10" s="1"/>
      <c r="R10" s="1"/>
      <c r="S10" s="1"/>
      <c r="T10" s="1"/>
    </row>
    <row r="11" spans="2:20" ht="51.75" thickBot="1" x14ac:dyDescent="0.25">
      <c r="B11" s="19" t="s">
        <v>3</v>
      </c>
      <c r="C11" s="19" t="s">
        <v>4</v>
      </c>
      <c r="D11" s="19" t="s">
        <v>82</v>
      </c>
      <c r="E11" s="19" t="s">
        <v>83</v>
      </c>
      <c r="F11" s="19" t="s">
        <v>7</v>
      </c>
      <c r="G11" s="19" t="s">
        <v>8</v>
      </c>
      <c r="H11" s="19" t="s">
        <v>84</v>
      </c>
      <c r="I11" s="19" t="s">
        <v>26</v>
      </c>
      <c r="M11" s="19" t="s">
        <v>3</v>
      </c>
      <c r="N11" s="19" t="s">
        <v>4</v>
      </c>
      <c r="O11" s="19" t="s">
        <v>82</v>
      </c>
      <c r="P11" s="19" t="s">
        <v>83</v>
      </c>
      <c r="Q11" s="19" t="s">
        <v>7</v>
      </c>
      <c r="R11" s="19" t="s">
        <v>8</v>
      </c>
      <c r="S11" s="19" t="s">
        <v>85</v>
      </c>
      <c r="T11" s="19" t="s">
        <v>26</v>
      </c>
    </row>
    <row r="12" spans="2:20" x14ac:dyDescent="0.2">
      <c r="B12" s="2" t="s">
        <v>37</v>
      </c>
      <c r="C12" s="2" t="s">
        <v>38</v>
      </c>
      <c r="D12" s="25">
        <v>3.2199999999999999E-2</v>
      </c>
      <c r="E12" s="2">
        <v>2</v>
      </c>
      <c r="F12" s="2">
        <v>30</v>
      </c>
      <c r="G12" s="2">
        <v>4</v>
      </c>
      <c r="H12" s="2">
        <f>E12*F12*G12</f>
        <v>240</v>
      </c>
      <c r="I12" s="3">
        <f>D12*H12</f>
        <v>7.7279999999999998</v>
      </c>
      <c r="M12" s="2" t="s">
        <v>37</v>
      </c>
      <c r="N12" s="2" t="s">
        <v>38</v>
      </c>
      <c r="O12" s="64">
        <v>3.5741071428571428E-2</v>
      </c>
      <c r="P12" s="2">
        <v>2</v>
      </c>
      <c r="Q12" s="2">
        <v>30</v>
      </c>
      <c r="R12" s="2">
        <v>4</v>
      </c>
      <c r="S12" s="2">
        <f>P12*Q12*R12</f>
        <v>240</v>
      </c>
      <c r="T12" s="3">
        <f>O12*S12</f>
        <v>8.5778571428571428</v>
      </c>
    </row>
    <row r="13" spans="2:20" x14ac:dyDescent="0.2">
      <c r="F13" s="5"/>
      <c r="G13" s="6"/>
      <c r="H13" s="7" t="s">
        <v>48</v>
      </c>
      <c r="I13" s="8">
        <f>SUM(I12:I12)</f>
        <v>7.7279999999999998</v>
      </c>
      <c r="M13" s="1"/>
      <c r="N13" s="1"/>
      <c r="O13" s="1"/>
      <c r="P13" s="1"/>
      <c r="Q13" s="5"/>
      <c r="R13" s="6"/>
      <c r="S13" s="7" t="s">
        <v>48</v>
      </c>
      <c r="T13" s="8">
        <f>SUM(T12:T12)</f>
        <v>8.5778571428571428</v>
      </c>
    </row>
    <row r="14" spans="2:20" ht="13.5" thickBot="1" x14ac:dyDescent="0.25">
      <c r="M14" s="1"/>
      <c r="N14" s="1"/>
      <c r="O14" s="1"/>
      <c r="P14" s="1"/>
      <c r="Q14" s="1"/>
      <c r="R14" s="1"/>
      <c r="S14" s="1"/>
      <c r="T14" s="1"/>
    </row>
    <row r="15" spans="2:20" ht="13.5" thickBot="1" x14ac:dyDescent="0.25">
      <c r="H15" s="9" t="s">
        <v>39</v>
      </c>
      <c r="I15" s="11">
        <f>I9+I13</f>
        <v>15.671999999999999</v>
      </c>
      <c r="M15" s="1"/>
      <c r="N15" s="1"/>
      <c r="O15" s="1"/>
      <c r="P15" s="1"/>
      <c r="Q15" s="1"/>
      <c r="R15" s="1"/>
      <c r="S15" s="9" t="s">
        <v>39</v>
      </c>
      <c r="T15" s="11">
        <f>T9+T13</f>
        <v>17.786657142857145</v>
      </c>
    </row>
    <row r="16" spans="2:20" x14ac:dyDescent="0.2">
      <c r="H16" s="9"/>
      <c r="I16" s="10"/>
    </row>
    <row r="17" spans="13:13" x14ac:dyDescent="0.2">
      <c r="M17" s="1"/>
    </row>
    <row r="18" spans="13:13" x14ac:dyDescent="0.2">
      <c r="M18" s="1"/>
    </row>
  </sheetData>
  <mergeCells count="6">
    <mergeCell ref="B2:I2"/>
    <mergeCell ref="B3:I3"/>
    <mergeCell ref="B4:I4"/>
    <mergeCell ref="M2:T2"/>
    <mergeCell ref="M3:T3"/>
    <mergeCell ref="M4:T4"/>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736FF-0161-4423-9FB4-F43ECB07334F}">
  <sheetPr>
    <tabColor theme="6" tint="0.59999389629810485"/>
  </sheetPr>
  <dimension ref="B1:T21"/>
  <sheetViews>
    <sheetView showGridLines="0" workbookViewId="0">
      <selection activeCell="L19" sqref="L19:Q22"/>
    </sheetView>
  </sheetViews>
  <sheetFormatPr defaultRowHeight="12.75" x14ac:dyDescent="0.2"/>
  <cols>
    <col min="2" max="2" width="21.28515625" style="1" customWidth="1"/>
    <col min="3" max="3" width="9" style="1" customWidth="1"/>
    <col min="4" max="4" width="9.5703125" style="1" customWidth="1"/>
    <col min="5" max="6" width="8.85546875" style="1" bestFit="1" customWidth="1"/>
    <col min="7" max="7" width="7.5703125" style="1" customWidth="1"/>
    <col min="8" max="8" width="14.5703125" style="1" customWidth="1"/>
    <col min="9" max="9" width="12.28515625" style="1" customWidth="1"/>
    <col min="11" max="11" width="9.140625" style="14"/>
    <col min="13" max="13" width="19.42578125" bestFit="1" customWidth="1"/>
    <col min="19" max="19" width="14.5703125" customWidth="1"/>
  </cols>
  <sheetData>
    <row r="1" spans="2:20" ht="15.75" x14ac:dyDescent="0.25">
      <c r="B1" s="30" t="s">
        <v>98</v>
      </c>
      <c r="M1" s="30" t="s">
        <v>98</v>
      </c>
      <c r="N1" s="1"/>
      <c r="O1" s="1"/>
      <c r="P1" s="1"/>
      <c r="Q1" s="1"/>
      <c r="R1" s="1"/>
      <c r="S1" s="1"/>
      <c r="T1" s="1"/>
    </row>
    <row r="2" spans="2:20" ht="15.75" x14ac:dyDescent="0.25">
      <c r="B2" s="122">
        <v>2018</v>
      </c>
      <c r="C2" s="122"/>
      <c r="D2" s="122"/>
      <c r="E2" s="122"/>
      <c r="F2" s="122"/>
      <c r="G2" s="122"/>
      <c r="H2" s="122"/>
      <c r="I2" s="122"/>
      <c r="M2" s="122">
        <v>2019</v>
      </c>
      <c r="N2" s="122"/>
      <c r="O2" s="122"/>
      <c r="P2" s="122"/>
      <c r="Q2" s="122"/>
      <c r="R2" s="122"/>
      <c r="S2" s="122"/>
      <c r="T2" s="122"/>
    </row>
    <row r="3" spans="2:20" ht="15.75" x14ac:dyDescent="0.25">
      <c r="B3" s="122" t="s">
        <v>69</v>
      </c>
      <c r="C3" s="122"/>
      <c r="D3" s="122"/>
      <c r="E3" s="122"/>
      <c r="F3" s="122"/>
      <c r="G3" s="122"/>
      <c r="H3" s="122"/>
      <c r="I3" s="122"/>
      <c r="M3" s="122" t="s">
        <v>69</v>
      </c>
      <c r="N3" s="122"/>
      <c r="O3" s="122"/>
      <c r="P3" s="122"/>
      <c r="Q3" s="122"/>
      <c r="R3" s="122"/>
      <c r="S3" s="122"/>
      <c r="T3" s="122"/>
    </row>
    <row r="4" spans="2:20" ht="15.75" x14ac:dyDescent="0.25">
      <c r="B4" s="122" t="s">
        <v>67</v>
      </c>
      <c r="C4" s="122"/>
      <c r="D4" s="122"/>
      <c r="E4" s="122"/>
      <c r="F4" s="122"/>
      <c r="G4" s="122"/>
      <c r="H4" s="122"/>
      <c r="I4" s="122"/>
      <c r="M4" s="122" t="s">
        <v>67</v>
      </c>
      <c r="N4" s="122"/>
      <c r="O4" s="122"/>
      <c r="P4" s="122"/>
      <c r="Q4" s="122"/>
      <c r="R4" s="122"/>
      <c r="S4" s="122"/>
      <c r="T4" s="122"/>
    </row>
    <row r="5" spans="2:20" x14ac:dyDescent="0.2">
      <c r="M5" s="1"/>
      <c r="N5" s="1"/>
      <c r="O5" s="1"/>
      <c r="P5" s="1"/>
      <c r="Q5" s="1"/>
      <c r="R5" s="1"/>
      <c r="S5" s="1"/>
      <c r="T5" s="1"/>
    </row>
    <row r="6" spans="2:20" x14ac:dyDescent="0.2">
      <c r="B6" s="16" t="s">
        <v>2</v>
      </c>
      <c r="M6" s="16" t="s">
        <v>2</v>
      </c>
      <c r="N6" s="1"/>
      <c r="O6" s="1"/>
      <c r="P6" s="1"/>
      <c r="Q6" s="1"/>
      <c r="R6" s="1"/>
      <c r="S6" s="1"/>
      <c r="T6" s="1"/>
    </row>
    <row r="7" spans="2:20" ht="51" x14ac:dyDescent="0.2">
      <c r="B7" s="17" t="s">
        <v>3</v>
      </c>
      <c r="C7" s="17" t="s">
        <v>4</v>
      </c>
      <c r="D7" s="17" t="s">
        <v>82</v>
      </c>
      <c r="E7" s="17" t="s">
        <v>83</v>
      </c>
      <c r="F7" s="17" t="s">
        <v>7</v>
      </c>
      <c r="G7" s="17" t="s">
        <v>8</v>
      </c>
      <c r="H7" s="17" t="s">
        <v>84</v>
      </c>
      <c r="I7" s="17" t="s">
        <v>10</v>
      </c>
      <c r="M7" s="17" t="s">
        <v>3</v>
      </c>
      <c r="N7" s="17" t="s">
        <v>4</v>
      </c>
      <c r="O7" s="17" t="s">
        <v>82</v>
      </c>
      <c r="P7" s="17" t="s">
        <v>83</v>
      </c>
      <c r="Q7" s="17" t="s">
        <v>7</v>
      </c>
      <c r="R7" s="17" t="s">
        <v>8</v>
      </c>
      <c r="S7" s="17" t="s">
        <v>85</v>
      </c>
      <c r="T7" s="17" t="s">
        <v>10</v>
      </c>
    </row>
    <row r="8" spans="2:20" x14ac:dyDescent="0.2">
      <c r="B8" s="2" t="s">
        <v>35</v>
      </c>
      <c r="C8" s="2" t="s">
        <v>36</v>
      </c>
      <c r="D8" s="25">
        <v>5.96E-2</v>
      </c>
      <c r="E8" s="2">
        <v>2</v>
      </c>
      <c r="F8" s="2">
        <v>30</v>
      </c>
      <c r="G8" s="2">
        <v>2</v>
      </c>
      <c r="H8" s="2">
        <f>E8*F8*G8</f>
        <v>120</v>
      </c>
      <c r="I8" s="3">
        <f>D8*H8</f>
        <v>7.1520000000000001</v>
      </c>
      <c r="M8" s="2" t="s">
        <v>35</v>
      </c>
      <c r="N8" s="2" t="s">
        <v>36</v>
      </c>
      <c r="O8" s="65">
        <v>7.1199999999999999E-2</v>
      </c>
      <c r="P8" s="2">
        <v>2</v>
      </c>
      <c r="Q8" s="2">
        <v>30</v>
      </c>
      <c r="R8" s="2">
        <v>2</v>
      </c>
      <c r="S8" s="2">
        <f>P8*Q8*R8</f>
        <v>120</v>
      </c>
      <c r="T8" s="3">
        <f>O8*S8</f>
        <v>8.5440000000000005</v>
      </c>
    </row>
    <row r="9" spans="2:20" x14ac:dyDescent="0.2">
      <c r="F9" s="5"/>
      <c r="G9" s="6"/>
      <c r="H9" s="7" t="s">
        <v>14</v>
      </c>
      <c r="I9" s="8">
        <f>SUM(I8:I8)</f>
        <v>7.1520000000000001</v>
      </c>
      <c r="M9" s="1"/>
      <c r="N9" s="1"/>
      <c r="O9" s="1"/>
      <c r="P9" s="1"/>
      <c r="Q9" s="5"/>
      <c r="R9" s="6"/>
      <c r="S9" s="7" t="s">
        <v>14</v>
      </c>
      <c r="T9" s="8">
        <f>SUM(T8:T8)</f>
        <v>8.5440000000000005</v>
      </c>
    </row>
    <row r="10" spans="2:20" x14ac:dyDescent="0.2">
      <c r="B10" s="18" t="s">
        <v>15</v>
      </c>
      <c r="M10" s="18" t="s">
        <v>15</v>
      </c>
      <c r="N10" s="1"/>
      <c r="O10" s="1"/>
      <c r="P10" s="1"/>
      <c r="Q10" s="1"/>
      <c r="R10" s="1"/>
      <c r="S10" s="1"/>
      <c r="T10" s="1"/>
    </row>
    <row r="11" spans="2:20" ht="51" x14ac:dyDescent="0.2">
      <c r="B11" s="19" t="s">
        <v>3</v>
      </c>
      <c r="C11" s="19" t="s">
        <v>4</v>
      </c>
      <c r="D11" s="19" t="s">
        <v>82</v>
      </c>
      <c r="E11" s="19" t="s">
        <v>83</v>
      </c>
      <c r="F11" s="19" t="s">
        <v>7</v>
      </c>
      <c r="G11" s="19" t="s">
        <v>8</v>
      </c>
      <c r="H11" s="19" t="s">
        <v>84</v>
      </c>
      <c r="I11" s="19" t="s">
        <v>26</v>
      </c>
      <c r="M11" s="19" t="s">
        <v>3</v>
      </c>
      <c r="N11" s="19" t="s">
        <v>4</v>
      </c>
      <c r="O11" s="19" t="s">
        <v>82</v>
      </c>
      <c r="P11" s="19" t="s">
        <v>83</v>
      </c>
      <c r="Q11" s="19" t="s">
        <v>7</v>
      </c>
      <c r="R11" s="19" t="s">
        <v>8</v>
      </c>
      <c r="S11" s="19" t="s">
        <v>85</v>
      </c>
      <c r="T11" s="19" t="s">
        <v>26</v>
      </c>
    </row>
    <row r="12" spans="2:20" x14ac:dyDescent="0.2">
      <c r="B12" s="2" t="s">
        <v>37</v>
      </c>
      <c r="C12" s="2" t="s">
        <v>38</v>
      </c>
      <c r="D12" s="25">
        <v>2.9399999999999999E-2</v>
      </c>
      <c r="E12" s="2">
        <v>2</v>
      </c>
      <c r="F12" s="2">
        <v>30</v>
      </c>
      <c r="G12" s="2">
        <v>4</v>
      </c>
      <c r="H12" s="2">
        <f>E12*F12*G12</f>
        <v>240</v>
      </c>
      <c r="I12" s="3">
        <f>D12*H12</f>
        <v>7.056</v>
      </c>
      <c r="M12" s="2" t="s">
        <v>37</v>
      </c>
      <c r="N12" s="2" t="s">
        <v>38</v>
      </c>
      <c r="O12" s="65">
        <v>2.9399999999999999E-2</v>
      </c>
      <c r="P12" s="2">
        <v>2</v>
      </c>
      <c r="Q12" s="2">
        <v>30</v>
      </c>
      <c r="R12" s="2">
        <v>4</v>
      </c>
      <c r="S12" s="2">
        <f>P12*Q12*R12</f>
        <v>240</v>
      </c>
      <c r="T12" s="3">
        <f>O12*S12</f>
        <v>7.056</v>
      </c>
    </row>
    <row r="13" spans="2:20" x14ac:dyDescent="0.2">
      <c r="F13" s="5"/>
      <c r="G13" s="6"/>
      <c r="H13" s="7" t="s">
        <v>48</v>
      </c>
      <c r="I13" s="8">
        <f>SUM(I12:I12)</f>
        <v>7.056</v>
      </c>
      <c r="M13" s="1"/>
      <c r="N13" s="1"/>
      <c r="O13" s="1"/>
      <c r="P13" s="1"/>
      <c r="Q13" s="5"/>
      <c r="R13" s="6"/>
      <c r="S13" s="7" t="s">
        <v>48</v>
      </c>
      <c r="T13" s="8">
        <f>SUM(T12:T12)</f>
        <v>7.056</v>
      </c>
    </row>
    <row r="14" spans="2:20" ht="13.5" thickBot="1" x14ac:dyDescent="0.25">
      <c r="M14" s="1"/>
      <c r="N14" s="1"/>
      <c r="O14" s="1"/>
      <c r="P14" s="1"/>
      <c r="Q14" s="1"/>
      <c r="R14" s="1"/>
      <c r="S14" s="1"/>
      <c r="T14" s="1"/>
    </row>
    <row r="15" spans="2:20" ht="13.5" thickBot="1" x14ac:dyDescent="0.25">
      <c r="H15" s="9" t="s">
        <v>39</v>
      </c>
      <c r="I15" s="11">
        <f>I9+I13</f>
        <v>14.208</v>
      </c>
      <c r="M15" s="1"/>
      <c r="N15" s="1"/>
      <c r="O15" s="1"/>
      <c r="P15" s="1"/>
      <c r="Q15" s="1"/>
      <c r="R15" s="1"/>
      <c r="S15" s="9" t="s">
        <v>39</v>
      </c>
      <c r="T15" s="11">
        <f>T9+T13</f>
        <v>15.600000000000001</v>
      </c>
    </row>
    <row r="16" spans="2:20" x14ac:dyDescent="0.2">
      <c r="H16" s="9"/>
      <c r="I16" s="10"/>
    </row>
    <row r="20" spans="13:15" x14ac:dyDescent="0.2">
      <c r="M20" s="1"/>
      <c r="O20" s="128"/>
    </row>
    <row r="21" spans="13:15" x14ac:dyDescent="0.2">
      <c r="M21" s="1"/>
      <c r="O21" s="128"/>
    </row>
  </sheetData>
  <mergeCells count="6">
    <mergeCell ref="B2:I2"/>
    <mergeCell ref="M2:T2"/>
    <mergeCell ref="B3:I3"/>
    <mergeCell ref="M3:T3"/>
    <mergeCell ref="B4:I4"/>
    <mergeCell ref="M4:T4"/>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7B10-E433-4562-90F7-81AB014D6286}">
  <sheetPr>
    <tabColor theme="6" tint="0.59999389629810485"/>
  </sheetPr>
  <dimension ref="A1:T21"/>
  <sheetViews>
    <sheetView showGridLines="0" workbookViewId="0">
      <selection activeCell="L18" sqref="L18:O23"/>
    </sheetView>
  </sheetViews>
  <sheetFormatPr defaultRowHeight="12.75" x14ac:dyDescent="0.2"/>
  <cols>
    <col min="2" max="2" width="21.28515625" style="1" customWidth="1"/>
    <col min="3" max="3" width="9" style="1" customWidth="1"/>
    <col min="4" max="4" width="9.5703125" style="1" customWidth="1"/>
    <col min="5" max="6" width="8.85546875" style="1" bestFit="1" customWidth="1"/>
    <col min="7" max="7" width="7.5703125" style="1" customWidth="1"/>
    <col min="8" max="8" width="14.5703125" style="1" customWidth="1"/>
    <col min="9" max="9" width="12.28515625" style="1" customWidth="1"/>
    <col min="11" max="11" width="9.140625" style="14"/>
    <col min="13" max="13" width="19.42578125" bestFit="1" customWidth="1"/>
    <col min="16" max="16" width="9" bestFit="1" customWidth="1"/>
    <col min="19" max="19" width="14.5703125" customWidth="1"/>
  </cols>
  <sheetData>
    <row r="1" spans="1:20" x14ac:dyDescent="0.2">
      <c r="A1" s="29" t="s">
        <v>97</v>
      </c>
      <c r="M1" s="1"/>
      <c r="N1" s="1"/>
      <c r="O1" s="1"/>
      <c r="P1" s="1"/>
      <c r="Q1" s="1"/>
      <c r="R1" s="1"/>
      <c r="S1" s="1"/>
      <c r="T1" s="1"/>
    </row>
    <row r="2" spans="1:20" ht="15.75" x14ac:dyDescent="0.25">
      <c r="B2" s="122">
        <v>2018</v>
      </c>
      <c r="C2" s="122"/>
      <c r="D2" s="122"/>
      <c r="E2" s="122"/>
      <c r="F2" s="122"/>
      <c r="G2" s="122"/>
      <c r="H2" s="122"/>
      <c r="I2" s="122"/>
      <c r="M2" s="122">
        <v>2019</v>
      </c>
      <c r="N2" s="122"/>
      <c r="O2" s="122"/>
      <c r="P2" s="122"/>
      <c r="Q2" s="122"/>
      <c r="R2" s="122"/>
      <c r="S2" s="122"/>
      <c r="T2" s="122"/>
    </row>
    <row r="3" spans="1:20" ht="15.75" x14ac:dyDescent="0.25">
      <c r="B3" s="122" t="s">
        <v>69</v>
      </c>
      <c r="C3" s="122"/>
      <c r="D3" s="122"/>
      <c r="E3" s="122"/>
      <c r="F3" s="122"/>
      <c r="G3" s="122"/>
      <c r="H3" s="122"/>
      <c r="I3" s="122"/>
      <c r="M3" s="122" t="s">
        <v>69</v>
      </c>
      <c r="N3" s="122"/>
      <c r="O3" s="122"/>
      <c r="P3" s="122"/>
      <c r="Q3" s="122"/>
      <c r="R3" s="122"/>
      <c r="S3" s="122"/>
      <c r="T3" s="122"/>
    </row>
    <row r="4" spans="1:20" ht="15.75" x14ac:dyDescent="0.25">
      <c r="B4" s="122" t="s">
        <v>66</v>
      </c>
      <c r="C4" s="122"/>
      <c r="D4" s="122"/>
      <c r="E4" s="122"/>
      <c r="F4" s="122"/>
      <c r="G4" s="122"/>
      <c r="H4" s="122"/>
      <c r="I4" s="122"/>
      <c r="M4" s="122" t="s">
        <v>66</v>
      </c>
      <c r="N4" s="122"/>
      <c r="O4" s="122"/>
      <c r="P4" s="122"/>
      <c r="Q4" s="122"/>
      <c r="R4" s="122"/>
      <c r="S4" s="122"/>
      <c r="T4" s="122"/>
    </row>
    <row r="5" spans="1:20" x14ac:dyDescent="0.2">
      <c r="M5" s="1"/>
      <c r="N5" s="1"/>
      <c r="O5" s="1"/>
      <c r="P5" s="1"/>
      <c r="Q5" s="1"/>
      <c r="R5" s="1"/>
      <c r="S5" s="1"/>
      <c r="T5" s="1"/>
    </row>
    <row r="6" spans="1:20" x14ac:dyDescent="0.2">
      <c r="B6" s="16" t="s">
        <v>2</v>
      </c>
      <c r="M6" s="16" t="s">
        <v>2</v>
      </c>
      <c r="N6" s="1"/>
      <c r="O6" s="1"/>
      <c r="P6" s="1"/>
      <c r="Q6" s="1"/>
      <c r="R6" s="1"/>
      <c r="S6" s="1"/>
      <c r="T6" s="1"/>
    </row>
    <row r="7" spans="1:20" ht="51" x14ac:dyDescent="0.2">
      <c r="B7" s="17" t="s">
        <v>3</v>
      </c>
      <c r="C7" s="17" t="s">
        <v>4</v>
      </c>
      <c r="D7" s="17" t="s">
        <v>82</v>
      </c>
      <c r="E7" s="17" t="s">
        <v>83</v>
      </c>
      <c r="F7" s="17" t="s">
        <v>7</v>
      </c>
      <c r="G7" s="17" t="s">
        <v>8</v>
      </c>
      <c r="H7" s="17" t="s">
        <v>85</v>
      </c>
      <c r="I7" s="17" t="s">
        <v>10</v>
      </c>
      <c r="M7" s="17" t="s">
        <v>3</v>
      </c>
      <c r="N7" s="17" t="s">
        <v>4</v>
      </c>
      <c r="O7" s="17" t="s">
        <v>82</v>
      </c>
      <c r="P7" s="17" t="s">
        <v>83</v>
      </c>
      <c r="Q7" s="17" t="s">
        <v>7</v>
      </c>
      <c r="R7" s="17" t="s">
        <v>8</v>
      </c>
      <c r="S7" s="17" t="s">
        <v>85</v>
      </c>
      <c r="T7" s="17" t="s">
        <v>10</v>
      </c>
    </row>
    <row r="8" spans="1:20" x14ac:dyDescent="0.2">
      <c r="B8" s="2" t="s">
        <v>35</v>
      </c>
      <c r="C8" s="2" t="s">
        <v>36</v>
      </c>
      <c r="D8" s="25">
        <v>6.6199999999999995E-2</v>
      </c>
      <c r="E8" s="2">
        <v>3</v>
      </c>
      <c r="F8" s="2">
        <v>30</v>
      </c>
      <c r="G8" s="2">
        <v>2</v>
      </c>
      <c r="H8" s="2">
        <f>E8*F8*G8</f>
        <v>180</v>
      </c>
      <c r="I8" s="3">
        <f>D8*H8</f>
        <v>11.915999999999999</v>
      </c>
      <c r="M8" s="2" t="s">
        <v>35</v>
      </c>
      <c r="N8" s="2" t="s">
        <v>36</v>
      </c>
      <c r="O8" s="63">
        <v>7.6740000000000003E-2</v>
      </c>
      <c r="P8" s="2">
        <v>3</v>
      </c>
      <c r="Q8" s="2">
        <v>30</v>
      </c>
      <c r="R8" s="2">
        <v>2</v>
      </c>
      <c r="S8" s="2">
        <f>P8*Q8*R8</f>
        <v>180</v>
      </c>
      <c r="T8" s="3">
        <f>O8*S8</f>
        <v>13.8132</v>
      </c>
    </row>
    <row r="9" spans="1:20" x14ac:dyDescent="0.2">
      <c r="F9" s="5"/>
      <c r="G9" s="6"/>
      <c r="H9" s="7" t="s">
        <v>14</v>
      </c>
      <c r="I9" s="8">
        <f>SUM(I8:I8)</f>
        <v>11.915999999999999</v>
      </c>
      <c r="M9" s="1"/>
      <c r="N9" s="1"/>
      <c r="O9" s="1"/>
      <c r="P9" s="1"/>
      <c r="Q9" s="5"/>
      <c r="R9" s="6"/>
      <c r="S9" s="7" t="s">
        <v>14</v>
      </c>
      <c r="T9" s="8">
        <f>SUM(T8:T8)</f>
        <v>13.8132</v>
      </c>
    </row>
    <row r="10" spans="1:20" x14ac:dyDescent="0.2">
      <c r="B10" s="18" t="s">
        <v>15</v>
      </c>
      <c r="M10" s="18" t="s">
        <v>15</v>
      </c>
      <c r="N10" s="1"/>
      <c r="O10" s="1"/>
      <c r="P10" s="1"/>
      <c r="Q10" s="1"/>
      <c r="R10" s="1"/>
      <c r="S10" s="1"/>
      <c r="T10" s="1"/>
    </row>
    <row r="11" spans="1:20" ht="51.75" thickBot="1" x14ac:dyDescent="0.25">
      <c r="B11" s="19" t="s">
        <v>3</v>
      </c>
      <c r="C11" s="19" t="s">
        <v>4</v>
      </c>
      <c r="D11" s="19" t="s">
        <v>82</v>
      </c>
      <c r="E11" s="19" t="s">
        <v>83</v>
      </c>
      <c r="F11" s="19" t="s">
        <v>7</v>
      </c>
      <c r="G11" s="19" t="s">
        <v>8</v>
      </c>
      <c r="H11" s="19" t="s">
        <v>85</v>
      </c>
      <c r="I11" s="19" t="s">
        <v>26</v>
      </c>
      <c r="M11" s="19" t="s">
        <v>3</v>
      </c>
      <c r="N11" s="19" t="s">
        <v>4</v>
      </c>
      <c r="O11" s="19" t="s">
        <v>82</v>
      </c>
      <c r="P11" s="19" t="s">
        <v>83</v>
      </c>
      <c r="Q11" s="19" t="s">
        <v>7</v>
      </c>
      <c r="R11" s="19" t="s">
        <v>8</v>
      </c>
      <c r="S11" s="19" t="s">
        <v>85</v>
      </c>
      <c r="T11" s="19" t="s">
        <v>26</v>
      </c>
    </row>
    <row r="12" spans="1:20" x14ac:dyDescent="0.2">
      <c r="B12" s="2" t="s">
        <v>37</v>
      </c>
      <c r="C12" s="2" t="s">
        <v>38</v>
      </c>
      <c r="D12" s="25">
        <v>3.2199999999999999E-2</v>
      </c>
      <c r="E12" s="2">
        <v>3</v>
      </c>
      <c r="F12" s="2">
        <v>30</v>
      </c>
      <c r="G12" s="2">
        <v>4</v>
      </c>
      <c r="H12" s="2">
        <f>E12*F12*G12</f>
        <v>360</v>
      </c>
      <c r="I12" s="3">
        <f>D12*H12</f>
        <v>11.592000000000001</v>
      </c>
      <c r="M12" s="2" t="s">
        <v>37</v>
      </c>
      <c r="N12" s="2" t="s">
        <v>38</v>
      </c>
      <c r="O12" s="64">
        <v>3.5741071428571428E-2</v>
      </c>
      <c r="P12" s="2">
        <v>3</v>
      </c>
      <c r="Q12" s="2">
        <v>30</v>
      </c>
      <c r="R12" s="2">
        <v>4</v>
      </c>
      <c r="S12" s="2">
        <f>P12*Q12*R12</f>
        <v>360</v>
      </c>
      <c r="T12" s="3">
        <f>O12*S12</f>
        <v>12.866785714285713</v>
      </c>
    </row>
    <row r="13" spans="1:20" x14ac:dyDescent="0.2">
      <c r="F13" s="5"/>
      <c r="G13" s="6"/>
      <c r="H13" s="7" t="s">
        <v>48</v>
      </c>
      <c r="I13" s="8">
        <f>SUM(I12:I12)</f>
        <v>11.592000000000001</v>
      </c>
      <c r="M13" s="1"/>
      <c r="N13" s="1"/>
      <c r="O13" s="1"/>
      <c r="P13" s="1"/>
      <c r="Q13" s="5"/>
      <c r="R13" s="6"/>
      <c r="S13" s="7" t="s">
        <v>48</v>
      </c>
      <c r="T13" s="8">
        <f>SUM(T12:T12)</f>
        <v>12.866785714285713</v>
      </c>
    </row>
    <row r="14" spans="1:20" ht="13.5" thickBot="1" x14ac:dyDescent="0.25">
      <c r="M14" s="1"/>
      <c r="N14" s="1"/>
      <c r="O14" s="1"/>
      <c r="P14" s="1"/>
      <c r="Q14" s="1"/>
      <c r="R14" s="1"/>
      <c r="S14" s="1"/>
      <c r="T14" s="1"/>
    </row>
    <row r="15" spans="1:20" ht="13.5" thickBot="1" x14ac:dyDescent="0.25">
      <c r="H15" s="9" t="s">
        <v>39</v>
      </c>
      <c r="I15" s="11">
        <f>I9+I13</f>
        <v>23.507999999999999</v>
      </c>
      <c r="M15" s="1"/>
      <c r="N15" s="1"/>
      <c r="O15" s="1"/>
      <c r="P15" s="1"/>
      <c r="Q15" s="1"/>
      <c r="R15" s="1"/>
      <c r="S15" s="9" t="s">
        <v>39</v>
      </c>
      <c r="T15" s="11">
        <f>T9+T13</f>
        <v>26.679985714285714</v>
      </c>
    </row>
    <row r="16" spans="1:20" x14ac:dyDescent="0.2">
      <c r="H16" s="9"/>
      <c r="I16" s="10"/>
    </row>
    <row r="20" spans="13:13" x14ac:dyDescent="0.2">
      <c r="M20" s="1"/>
    </row>
    <row r="21" spans="13:13" x14ac:dyDescent="0.2">
      <c r="M21" s="1"/>
    </row>
  </sheetData>
  <mergeCells count="6">
    <mergeCell ref="B2:I2"/>
    <mergeCell ref="B3:I3"/>
    <mergeCell ref="B4:I4"/>
    <mergeCell ref="M2:T2"/>
    <mergeCell ref="M3:T3"/>
    <mergeCell ref="M4:T4"/>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F525A-A561-4BA0-A498-6B131499523F}">
  <sheetPr>
    <tabColor theme="6" tint="0.59999389629810485"/>
  </sheetPr>
  <dimension ref="A1:T21"/>
  <sheetViews>
    <sheetView showGridLines="0" workbookViewId="0">
      <selection activeCell="M19" sqref="M19:P23"/>
    </sheetView>
  </sheetViews>
  <sheetFormatPr defaultRowHeight="12.75" x14ac:dyDescent="0.2"/>
  <cols>
    <col min="2" max="2" width="21.28515625" style="1" customWidth="1"/>
    <col min="3" max="3" width="9" style="1" customWidth="1"/>
    <col min="4" max="4" width="9.5703125" style="1" customWidth="1"/>
    <col min="5" max="6" width="8.85546875" style="1" bestFit="1" customWidth="1"/>
    <col min="7" max="7" width="7.5703125" style="1" customWidth="1"/>
    <col min="8" max="8" width="14.5703125" style="1" customWidth="1"/>
    <col min="9" max="9" width="12.28515625" style="1" customWidth="1"/>
    <col min="11" max="11" width="9.140625" style="14"/>
    <col min="13" max="13" width="19.42578125" bestFit="1" customWidth="1"/>
    <col min="16" max="16" width="9" bestFit="1" customWidth="1"/>
    <col min="19" max="19" width="14.5703125" customWidth="1"/>
  </cols>
  <sheetData>
    <row r="1" spans="1:20" ht="15.75" x14ac:dyDescent="0.25">
      <c r="A1" s="29" t="s">
        <v>97</v>
      </c>
      <c r="B1" s="30" t="s">
        <v>98</v>
      </c>
      <c r="M1" s="30" t="s">
        <v>98</v>
      </c>
      <c r="N1" s="1"/>
      <c r="O1" s="1"/>
      <c r="P1" s="1"/>
      <c r="Q1" s="1"/>
      <c r="R1" s="1"/>
      <c r="S1" s="1"/>
      <c r="T1" s="1"/>
    </row>
    <row r="2" spans="1:20" ht="15.75" x14ac:dyDescent="0.25">
      <c r="B2" s="122">
        <v>2018</v>
      </c>
      <c r="C2" s="122"/>
      <c r="D2" s="122"/>
      <c r="E2" s="122"/>
      <c r="F2" s="122"/>
      <c r="G2" s="122"/>
      <c r="H2" s="122"/>
      <c r="I2" s="122"/>
      <c r="M2" s="122">
        <v>2019</v>
      </c>
      <c r="N2" s="122"/>
      <c r="O2" s="122"/>
      <c r="P2" s="122"/>
      <c r="Q2" s="122"/>
      <c r="R2" s="122"/>
      <c r="S2" s="122"/>
      <c r="T2" s="122"/>
    </row>
    <row r="3" spans="1:20" ht="15.75" x14ac:dyDescent="0.25">
      <c r="B3" s="122" t="s">
        <v>69</v>
      </c>
      <c r="C3" s="122"/>
      <c r="D3" s="122"/>
      <c r="E3" s="122"/>
      <c r="F3" s="122"/>
      <c r="G3" s="122"/>
      <c r="H3" s="122"/>
      <c r="I3" s="122"/>
      <c r="M3" s="122" t="s">
        <v>69</v>
      </c>
      <c r="N3" s="122"/>
      <c r="O3" s="122"/>
      <c r="P3" s="122"/>
      <c r="Q3" s="122"/>
      <c r="R3" s="122"/>
      <c r="S3" s="122"/>
      <c r="T3" s="122"/>
    </row>
    <row r="4" spans="1:20" ht="15.75" x14ac:dyDescent="0.25">
      <c r="B4" s="122" t="s">
        <v>66</v>
      </c>
      <c r="C4" s="122"/>
      <c r="D4" s="122"/>
      <c r="E4" s="122"/>
      <c r="F4" s="122"/>
      <c r="G4" s="122"/>
      <c r="H4" s="122"/>
      <c r="I4" s="122"/>
      <c r="M4" s="122" t="s">
        <v>66</v>
      </c>
      <c r="N4" s="122"/>
      <c r="O4" s="122"/>
      <c r="P4" s="122"/>
      <c r="Q4" s="122"/>
      <c r="R4" s="122"/>
      <c r="S4" s="122"/>
      <c r="T4" s="122"/>
    </row>
    <row r="5" spans="1:20" x14ac:dyDescent="0.2">
      <c r="M5" s="1"/>
      <c r="N5" s="1"/>
      <c r="O5" s="1"/>
      <c r="P5" s="1"/>
      <c r="Q5" s="1"/>
      <c r="R5" s="1"/>
      <c r="S5" s="1"/>
      <c r="T5" s="1"/>
    </row>
    <row r="6" spans="1:20" x14ac:dyDescent="0.2">
      <c r="B6" s="16" t="s">
        <v>2</v>
      </c>
      <c r="M6" s="16" t="s">
        <v>2</v>
      </c>
      <c r="N6" s="1"/>
      <c r="O6" s="1"/>
      <c r="P6" s="1"/>
      <c r="Q6" s="1"/>
      <c r="R6" s="1"/>
      <c r="S6" s="1"/>
      <c r="T6" s="1"/>
    </row>
    <row r="7" spans="1:20" ht="51" x14ac:dyDescent="0.2">
      <c r="B7" s="17" t="s">
        <v>3</v>
      </c>
      <c r="C7" s="17" t="s">
        <v>4</v>
      </c>
      <c r="D7" s="17" t="s">
        <v>82</v>
      </c>
      <c r="E7" s="17" t="s">
        <v>83</v>
      </c>
      <c r="F7" s="17" t="s">
        <v>7</v>
      </c>
      <c r="G7" s="17" t="s">
        <v>8</v>
      </c>
      <c r="H7" s="17" t="s">
        <v>85</v>
      </c>
      <c r="I7" s="17" t="s">
        <v>10</v>
      </c>
      <c r="M7" s="17" t="s">
        <v>3</v>
      </c>
      <c r="N7" s="17" t="s">
        <v>4</v>
      </c>
      <c r="O7" s="17" t="s">
        <v>82</v>
      </c>
      <c r="P7" s="17" t="s">
        <v>83</v>
      </c>
      <c r="Q7" s="17" t="s">
        <v>7</v>
      </c>
      <c r="R7" s="17" t="s">
        <v>8</v>
      </c>
      <c r="S7" s="17" t="s">
        <v>85</v>
      </c>
      <c r="T7" s="17" t="s">
        <v>10</v>
      </c>
    </row>
    <row r="8" spans="1:20" x14ac:dyDescent="0.2">
      <c r="B8" s="2" t="s">
        <v>35</v>
      </c>
      <c r="C8" s="2" t="s">
        <v>36</v>
      </c>
      <c r="D8" s="25">
        <v>5.96E-2</v>
      </c>
      <c r="E8" s="2">
        <v>3</v>
      </c>
      <c r="F8" s="2">
        <v>30</v>
      </c>
      <c r="G8" s="2">
        <v>2</v>
      </c>
      <c r="H8" s="2">
        <f>E8*F8*G8</f>
        <v>180</v>
      </c>
      <c r="I8" s="3">
        <f>D8*H8</f>
        <v>10.728</v>
      </c>
      <c r="M8" s="2" t="s">
        <v>35</v>
      </c>
      <c r="N8" s="2" t="s">
        <v>36</v>
      </c>
      <c r="O8" s="65">
        <v>7.1199999999999999E-2</v>
      </c>
      <c r="P8" s="2">
        <v>3</v>
      </c>
      <c r="Q8" s="2">
        <v>30</v>
      </c>
      <c r="R8" s="2">
        <v>2</v>
      </c>
      <c r="S8" s="2">
        <f>P8*Q8*R8</f>
        <v>180</v>
      </c>
      <c r="T8" s="3">
        <f>O8*S8</f>
        <v>12.816000000000001</v>
      </c>
    </row>
    <row r="9" spans="1:20" x14ac:dyDescent="0.2">
      <c r="F9" s="5"/>
      <c r="G9" s="6"/>
      <c r="H9" s="7" t="s">
        <v>14</v>
      </c>
      <c r="I9" s="8">
        <f>SUM(I8:I8)</f>
        <v>10.728</v>
      </c>
      <c r="M9" s="1"/>
      <c r="N9" s="1"/>
      <c r="O9" s="1"/>
      <c r="P9" s="1"/>
      <c r="Q9" s="5"/>
      <c r="R9" s="6"/>
      <c r="S9" s="7" t="s">
        <v>14</v>
      </c>
      <c r="T9" s="8">
        <f>SUM(T8:T8)</f>
        <v>12.816000000000001</v>
      </c>
    </row>
    <row r="10" spans="1:20" x14ac:dyDescent="0.2">
      <c r="B10" s="18" t="s">
        <v>15</v>
      </c>
      <c r="M10" s="18" t="s">
        <v>15</v>
      </c>
      <c r="N10" s="1"/>
      <c r="O10" s="1"/>
      <c r="P10" s="1"/>
      <c r="Q10" s="1"/>
      <c r="R10" s="1"/>
      <c r="S10" s="1"/>
      <c r="T10" s="1"/>
    </row>
    <row r="11" spans="1:20" ht="51" x14ac:dyDescent="0.2">
      <c r="B11" s="19" t="s">
        <v>3</v>
      </c>
      <c r="C11" s="19" t="s">
        <v>4</v>
      </c>
      <c r="D11" s="19" t="s">
        <v>82</v>
      </c>
      <c r="E11" s="19" t="s">
        <v>83</v>
      </c>
      <c r="F11" s="19" t="s">
        <v>7</v>
      </c>
      <c r="G11" s="19" t="s">
        <v>8</v>
      </c>
      <c r="H11" s="19" t="s">
        <v>85</v>
      </c>
      <c r="I11" s="19" t="s">
        <v>26</v>
      </c>
      <c r="M11" s="19" t="s">
        <v>3</v>
      </c>
      <c r="N11" s="19" t="s">
        <v>4</v>
      </c>
      <c r="O11" s="19" t="s">
        <v>82</v>
      </c>
      <c r="P11" s="19" t="s">
        <v>83</v>
      </c>
      <c r="Q11" s="19" t="s">
        <v>7</v>
      </c>
      <c r="R11" s="19" t="s">
        <v>8</v>
      </c>
      <c r="S11" s="19" t="s">
        <v>85</v>
      </c>
      <c r="T11" s="19" t="s">
        <v>26</v>
      </c>
    </row>
    <row r="12" spans="1:20" x14ac:dyDescent="0.2">
      <c r="B12" s="2" t="s">
        <v>37</v>
      </c>
      <c r="C12" s="2" t="s">
        <v>38</v>
      </c>
      <c r="D12" s="25">
        <v>2.9399999999999999E-2</v>
      </c>
      <c r="E12" s="2">
        <v>3</v>
      </c>
      <c r="F12" s="2">
        <v>30</v>
      </c>
      <c r="G12" s="2">
        <v>4</v>
      </c>
      <c r="H12" s="2">
        <f>E12*F12*G12</f>
        <v>360</v>
      </c>
      <c r="I12" s="3">
        <f>D12*H12</f>
        <v>10.584</v>
      </c>
      <c r="M12" s="2" t="s">
        <v>37</v>
      </c>
      <c r="N12" s="2" t="s">
        <v>38</v>
      </c>
      <c r="O12" s="65">
        <v>2.9399999999999999E-2</v>
      </c>
      <c r="P12" s="2">
        <v>3</v>
      </c>
      <c r="Q12" s="2">
        <v>30</v>
      </c>
      <c r="R12" s="2">
        <v>4</v>
      </c>
      <c r="S12" s="2">
        <f>P12*Q12*R12</f>
        <v>360</v>
      </c>
      <c r="T12" s="3">
        <f>O12*S12</f>
        <v>10.584</v>
      </c>
    </row>
    <row r="13" spans="1:20" x14ac:dyDescent="0.2">
      <c r="F13" s="5"/>
      <c r="G13" s="6"/>
      <c r="H13" s="7" t="s">
        <v>48</v>
      </c>
      <c r="I13" s="8">
        <f>SUM(I12:I12)</f>
        <v>10.584</v>
      </c>
      <c r="M13" s="1"/>
      <c r="N13" s="1"/>
      <c r="O13" s="1"/>
      <c r="P13" s="1"/>
      <c r="Q13" s="5"/>
      <c r="R13" s="6"/>
      <c r="S13" s="7" t="s">
        <v>48</v>
      </c>
      <c r="T13" s="8">
        <f>SUM(T12:T12)</f>
        <v>10.584</v>
      </c>
    </row>
    <row r="14" spans="1:20" ht="13.5" thickBot="1" x14ac:dyDescent="0.25">
      <c r="M14" s="1"/>
      <c r="N14" s="1"/>
      <c r="O14" s="1"/>
      <c r="P14" s="1"/>
      <c r="Q14" s="1"/>
      <c r="R14" s="1"/>
      <c r="S14" s="1"/>
      <c r="T14" s="1"/>
    </row>
    <row r="15" spans="1:20" ht="13.5" thickBot="1" x14ac:dyDescent="0.25">
      <c r="H15" s="9" t="s">
        <v>39</v>
      </c>
      <c r="I15" s="11">
        <f>I9+I13</f>
        <v>21.311999999999998</v>
      </c>
      <c r="M15" s="1"/>
      <c r="N15" s="1"/>
      <c r="O15" s="1"/>
      <c r="P15" s="1"/>
      <c r="Q15" s="1"/>
      <c r="R15" s="1"/>
      <c r="S15" s="9" t="s">
        <v>39</v>
      </c>
      <c r="T15" s="11">
        <f>T9+T13</f>
        <v>23.4</v>
      </c>
    </row>
    <row r="16" spans="1:20" x14ac:dyDescent="0.2">
      <c r="H16" s="9"/>
      <c r="I16" s="10"/>
    </row>
    <row r="20" spans="13:15" x14ac:dyDescent="0.2">
      <c r="M20" s="1"/>
      <c r="O20" s="128"/>
    </row>
    <row r="21" spans="13:15" x14ac:dyDescent="0.2">
      <c r="M21" s="1"/>
      <c r="O21" s="128"/>
    </row>
  </sheetData>
  <mergeCells count="6">
    <mergeCell ref="B2:I2"/>
    <mergeCell ref="M2:T2"/>
    <mergeCell ref="B3:I3"/>
    <mergeCell ref="M3:T3"/>
    <mergeCell ref="B4:I4"/>
    <mergeCell ref="M4:T4"/>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172FB-6254-4B60-A7D0-1AAD1DB4145E}">
  <sheetPr>
    <tabColor theme="6" tint="0.59999389629810485"/>
  </sheetPr>
  <dimension ref="B1:T24"/>
  <sheetViews>
    <sheetView showGridLines="0" workbookViewId="0">
      <selection activeCell="M21" sqref="M21:P26"/>
    </sheetView>
  </sheetViews>
  <sheetFormatPr defaultRowHeight="12.75" x14ac:dyDescent="0.2"/>
  <cols>
    <col min="2" max="2" width="21.28515625" style="1" customWidth="1"/>
    <col min="3" max="3" width="9" style="1" customWidth="1"/>
    <col min="4" max="4" width="9.5703125" style="1" customWidth="1"/>
    <col min="5" max="6" width="8.85546875" style="1" bestFit="1" customWidth="1"/>
    <col min="7" max="7" width="7.5703125" style="1" customWidth="1"/>
    <col min="8" max="8" width="14.5703125" style="1" customWidth="1"/>
    <col min="9" max="9" width="12.28515625" style="1" customWidth="1"/>
    <col min="11" max="11" width="9.140625" style="14"/>
    <col min="13" max="13" width="19.42578125" bestFit="1" customWidth="1"/>
    <col min="19" max="19" width="14.5703125" customWidth="1"/>
    <col min="20" max="20" width="12.28515625" customWidth="1"/>
  </cols>
  <sheetData>
    <row r="1" spans="2:20" x14ac:dyDescent="0.2">
      <c r="M1" s="1"/>
      <c r="N1" s="1"/>
      <c r="O1" s="1"/>
      <c r="P1" s="1"/>
      <c r="Q1" s="1"/>
      <c r="R1" s="1"/>
      <c r="S1" s="1"/>
      <c r="T1" s="1"/>
    </row>
    <row r="2" spans="2:20" ht="15.75" x14ac:dyDescent="0.25">
      <c r="B2" s="122">
        <v>2018</v>
      </c>
      <c r="C2" s="122"/>
      <c r="D2" s="122"/>
      <c r="E2" s="122"/>
      <c r="F2" s="122"/>
      <c r="G2" s="122"/>
      <c r="H2" s="122"/>
      <c r="I2" s="122"/>
      <c r="M2" s="122">
        <v>2019</v>
      </c>
      <c r="N2" s="122"/>
      <c r="O2" s="122"/>
      <c r="P2" s="122"/>
      <c r="Q2" s="122"/>
      <c r="R2" s="122"/>
      <c r="S2" s="122"/>
      <c r="T2" s="122"/>
    </row>
    <row r="3" spans="2:20" ht="15.75" x14ac:dyDescent="0.25">
      <c r="B3" s="122" t="s">
        <v>69</v>
      </c>
      <c r="C3" s="122"/>
      <c r="D3" s="122"/>
      <c r="E3" s="122"/>
      <c r="F3" s="122"/>
      <c r="G3" s="122"/>
      <c r="H3" s="122"/>
      <c r="I3" s="122"/>
      <c r="M3" s="122" t="s">
        <v>69</v>
      </c>
      <c r="N3" s="122"/>
      <c r="O3" s="122"/>
      <c r="P3" s="122"/>
      <c r="Q3" s="122"/>
      <c r="R3" s="122"/>
      <c r="S3" s="122"/>
      <c r="T3" s="122"/>
    </row>
    <row r="4" spans="2:20" ht="15.75" x14ac:dyDescent="0.25">
      <c r="B4" s="122" t="s">
        <v>65</v>
      </c>
      <c r="C4" s="122"/>
      <c r="D4" s="122"/>
      <c r="E4" s="122"/>
      <c r="F4" s="122"/>
      <c r="G4" s="122"/>
      <c r="H4" s="122"/>
      <c r="I4" s="122"/>
      <c r="M4" s="122" t="s">
        <v>65</v>
      </c>
      <c r="N4" s="122"/>
      <c r="O4" s="122"/>
      <c r="P4" s="122"/>
      <c r="Q4" s="122"/>
      <c r="R4" s="122"/>
      <c r="S4" s="122"/>
      <c r="T4" s="122"/>
    </row>
    <row r="5" spans="2:20" x14ac:dyDescent="0.2">
      <c r="M5" s="1"/>
      <c r="N5" s="1"/>
      <c r="O5" s="1"/>
      <c r="P5" s="1"/>
      <c r="Q5" s="1"/>
      <c r="R5" s="1"/>
      <c r="S5" s="1"/>
      <c r="T5" s="1"/>
    </row>
    <row r="6" spans="2:20" x14ac:dyDescent="0.2">
      <c r="B6" s="16" t="s">
        <v>2</v>
      </c>
      <c r="M6" s="16" t="s">
        <v>2</v>
      </c>
      <c r="N6" s="1"/>
      <c r="O6" s="1"/>
      <c r="P6" s="1"/>
      <c r="Q6" s="1"/>
      <c r="R6" s="1"/>
      <c r="S6" s="1"/>
      <c r="T6" s="1"/>
    </row>
    <row r="7" spans="2:20" ht="38.25" x14ac:dyDescent="0.2">
      <c r="B7" s="17" t="s">
        <v>3</v>
      </c>
      <c r="C7" s="17" t="s">
        <v>4</v>
      </c>
      <c r="D7" s="17" t="s">
        <v>82</v>
      </c>
      <c r="E7" s="17" t="s">
        <v>83</v>
      </c>
      <c r="F7" s="17" t="s">
        <v>7</v>
      </c>
      <c r="G7" s="17" t="s">
        <v>8</v>
      </c>
      <c r="H7" s="17" t="s">
        <v>85</v>
      </c>
      <c r="I7" s="17" t="s">
        <v>10</v>
      </c>
      <c r="M7" s="17" t="s">
        <v>3</v>
      </c>
      <c r="N7" s="17" t="s">
        <v>4</v>
      </c>
      <c r="O7" s="17" t="s">
        <v>82</v>
      </c>
      <c r="P7" s="17" t="s">
        <v>83</v>
      </c>
      <c r="Q7" s="17" t="s">
        <v>7</v>
      </c>
      <c r="R7" s="17" t="s">
        <v>8</v>
      </c>
      <c r="S7" s="17" t="s">
        <v>85</v>
      </c>
      <c r="T7" s="17" t="s">
        <v>10</v>
      </c>
    </row>
    <row r="8" spans="2:20" x14ac:dyDescent="0.2">
      <c r="B8" s="2" t="s">
        <v>35</v>
      </c>
      <c r="C8" s="2" t="s">
        <v>36</v>
      </c>
      <c r="D8" s="25">
        <v>6.6199999999999995E-2</v>
      </c>
      <c r="E8" s="2">
        <v>4</v>
      </c>
      <c r="F8" s="2">
        <v>30</v>
      </c>
      <c r="G8" s="2">
        <v>2</v>
      </c>
      <c r="H8" s="2">
        <f>E8*F8*G8</f>
        <v>240</v>
      </c>
      <c r="I8" s="3">
        <f>D8*H8</f>
        <v>15.887999999999998</v>
      </c>
      <c r="M8" s="2" t="s">
        <v>35</v>
      </c>
      <c r="N8" s="2" t="s">
        <v>36</v>
      </c>
      <c r="O8" s="63">
        <v>7.6740000000000003E-2</v>
      </c>
      <c r="P8" s="2">
        <v>4</v>
      </c>
      <c r="Q8" s="2">
        <v>30</v>
      </c>
      <c r="R8" s="2">
        <v>2</v>
      </c>
      <c r="S8" s="2">
        <f>P8*Q8*R8</f>
        <v>240</v>
      </c>
      <c r="T8" s="3">
        <f>O8*S8</f>
        <v>18.4176</v>
      </c>
    </row>
    <row r="9" spans="2:20" x14ac:dyDescent="0.2">
      <c r="F9" s="5"/>
      <c r="G9" s="6"/>
      <c r="H9" s="7" t="s">
        <v>14</v>
      </c>
      <c r="I9" s="8">
        <f>SUM(I8:I8)</f>
        <v>15.887999999999998</v>
      </c>
      <c r="M9" s="1"/>
      <c r="N9" s="1"/>
      <c r="O9" s="1"/>
      <c r="P9" s="1"/>
      <c r="Q9" s="5"/>
      <c r="R9" s="6"/>
      <c r="S9" s="7" t="s">
        <v>14</v>
      </c>
      <c r="T9" s="8">
        <f>SUM(T8:T8)</f>
        <v>18.4176</v>
      </c>
    </row>
    <row r="10" spans="2:20" x14ac:dyDescent="0.2">
      <c r="B10" s="18" t="s">
        <v>15</v>
      </c>
      <c r="M10" s="18" t="s">
        <v>15</v>
      </c>
      <c r="N10" s="1"/>
      <c r="O10" s="1"/>
      <c r="P10" s="1"/>
      <c r="Q10" s="1"/>
      <c r="R10" s="1"/>
      <c r="S10" s="1"/>
      <c r="T10" s="1"/>
    </row>
    <row r="11" spans="2:20" ht="39" thickBot="1" x14ac:dyDescent="0.25">
      <c r="B11" s="19" t="s">
        <v>3</v>
      </c>
      <c r="C11" s="19" t="s">
        <v>4</v>
      </c>
      <c r="D11" s="19" t="s">
        <v>82</v>
      </c>
      <c r="E11" s="19" t="s">
        <v>83</v>
      </c>
      <c r="F11" s="19" t="s">
        <v>7</v>
      </c>
      <c r="G11" s="19" t="s">
        <v>8</v>
      </c>
      <c r="H11" s="19" t="s">
        <v>87</v>
      </c>
      <c r="I11" s="19" t="s">
        <v>26</v>
      </c>
      <c r="M11" s="19" t="s">
        <v>3</v>
      </c>
      <c r="N11" s="19" t="s">
        <v>4</v>
      </c>
      <c r="O11" s="19" t="s">
        <v>82</v>
      </c>
      <c r="P11" s="19" t="s">
        <v>83</v>
      </c>
      <c r="Q11" s="19" t="s">
        <v>7</v>
      </c>
      <c r="R11" s="19" t="s">
        <v>8</v>
      </c>
      <c r="S11" s="19" t="s">
        <v>85</v>
      </c>
      <c r="T11" s="19" t="s">
        <v>26</v>
      </c>
    </row>
    <row r="12" spans="2:20" x14ac:dyDescent="0.2">
      <c r="B12" s="2" t="s">
        <v>37</v>
      </c>
      <c r="C12" s="2" t="s">
        <v>38</v>
      </c>
      <c r="D12" s="25">
        <v>3.2199999999999999E-2</v>
      </c>
      <c r="E12" s="2">
        <v>4</v>
      </c>
      <c r="F12" s="2">
        <v>30</v>
      </c>
      <c r="G12" s="2">
        <v>4</v>
      </c>
      <c r="H12" s="2">
        <f>E12*F12*G12</f>
        <v>480</v>
      </c>
      <c r="I12" s="3">
        <f>D12*H12</f>
        <v>15.456</v>
      </c>
      <c r="M12" s="2" t="s">
        <v>37</v>
      </c>
      <c r="N12" s="2" t="s">
        <v>38</v>
      </c>
      <c r="O12" s="64">
        <v>3.5741071428571428E-2</v>
      </c>
      <c r="P12" s="2">
        <v>4</v>
      </c>
      <c r="Q12" s="2">
        <v>30</v>
      </c>
      <c r="R12" s="2">
        <v>4</v>
      </c>
      <c r="S12" s="2">
        <f>P12*Q12*R12</f>
        <v>480</v>
      </c>
      <c r="T12" s="3">
        <f>O12*S12</f>
        <v>17.155714285714286</v>
      </c>
    </row>
    <row r="13" spans="2:20" x14ac:dyDescent="0.2">
      <c r="F13" s="5"/>
      <c r="G13" s="6"/>
      <c r="H13" s="7" t="s">
        <v>48</v>
      </c>
      <c r="I13" s="8">
        <f>SUM(I12:I12)</f>
        <v>15.456</v>
      </c>
      <c r="M13" s="1"/>
      <c r="N13" s="1"/>
      <c r="O13" s="1"/>
      <c r="P13" s="1"/>
      <c r="Q13" s="5"/>
      <c r="R13" s="6"/>
      <c r="S13" s="7" t="s">
        <v>48</v>
      </c>
      <c r="T13" s="8">
        <f>SUM(T12:T12)</f>
        <v>17.155714285714286</v>
      </c>
    </row>
    <row r="14" spans="2:20" ht="13.5" thickBot="1" x14ac:dyDescent="0.25">
      <c r="M14" s="1"/>
      <c r="N14" s="1"/>
      <c r="O14" s="1"/>
      <c r="P14" s="1"/>
      <c r="Q14" s="1"/>
      <c r="R14" s="1"/>
      <c r="S14" s="1"/>
      <c r="T14" s="1"/>
    </row>
    <row r="15" spans="2:20" ht="13.5" thickBot="1" x14ac:dyDescent="0.25">
      <c r="H15" s="9" t="s">
        <v>39</v>
      </c>
      <c r="I15" s="11">
        <f>I9+I13</f>
        <v>31.343999999999998</v>
      </c>
      <c r="M15" s="1"/>
      <c r="N15" s="1"/>
      <c r="O15" s="1"/>
      <c r="P15" s="1"/>
      <c r="Q15" s="1"/>
      <c r="R15" s="1"/>
      <c r="S15" s="9" t="s">
        <v>39</v>
      </c>
      <c r="T15" s="11">
        <f>T9+T13</f>
        <v>35.573314285714289</v>
      </c>
    </row>
    <row r="16" spans="2:20" x14ac:dyDescent="0.2">
      <c r="H16" s="9"/>
      <c r="I16" s="10"/>
    </row>
    <row r="23" spans="13:15" x14ac:dyDescent="0.2">
      <c r="M23" s="1"/>
      <c r="O23" s="128"/>
    </row>
    <row r="24" spans="13:15" x14ac:dyDescent="0.2">
      <c r="M24" s="1"/>
      <c r="O24" s="128"/>
    </row>
  </sheetData>
  <mergeCells count="6">
    <mergeCell ref="M2:T2"/>
    <mergeCell ref="M3:T3"/>
    <mergeCell ref="M4:T4"/>
    <mergeCell ref="B2:I2"/>
    <mergeCell ref="B3:I3"/>
    <mergeCell ref="B4:I4"/>
  </mergeCell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E014D-17BF-4127-8679-968AD054C25A}">
  <sheetPr>
    <tabColor theme="6" tint="0.59999389629810485"/>
  </sheetPr>
  <dimension ref="B1:T21"/>
  <sheetViews>
    <sheetView showGridLines="0" workbookViewId="0">
      <selection activeCell="M18" sqref="M18:Q23"/>
    </sheetView>
  </sheetViews>
  <sheetFormatPr defaultRowHeight="12.75" x14ac:dyDescent="0.2"/>
  <cols>
    <col min="2" max="2" width="21.28515625" style="1" customWidth="1"/>
    <col min="3" max="3" width="9" style="1" customWidth="1"/>
    <col min="4" max="4" width="9.5703125" style="1" customWidth="1"/>
    <col min="5" max="6" width="8.85546875" style="1" bestFit="1" customWidth="1"/>
    <col min="7" max="7" width="7.5703125" style="1" customWidth="1"/>
    <col min="8" max="8" width="14.5703125" style="1" customWidth="1"/>
    <col min="9" max="9" width="12.28515625" style="1" customWidth="1"/>
    <col min="11" max="11" width="9.140625" style="14"/>
    <col min="13" max="13" width="19.42578125" bestFit="1" customWidth="1"/>
    <col min="19" max="19" width="14.5703125" customWidth="1"/>
    <col min="20" max="20" width="12.28515625" customWidth="1"/>
  </cols>
  <sheetData>
    <row r="1" spans="2:20" ht="15.75" x14ac:dyDescent="0.25">
      <c r="B1" s="30" t="s">
        <v>98</v>
      </c>
      <c r="M1" s="30" t="s">
        <v>98</v>
      </c>
      <c r="N1" s="1"/>
      <c r="O1" s="1"/>
      <c r="P1" s="1"/>
      <c r="Q1" s="1"/>
      <c r="R1" s="1"/>
      <c r="S1" s="1"/>
      <c r="T1" s="1"/>
    </row>
    <row r="2" spans="2:20" ht="15.75" x14ac:dyDescent="0.25">
      <c r="B2" s="122">
        <v>2018</v>
      </c>
      <c r="C2" s="122"/>
      <c r="D2" s="122"/>
      <c r="E2" s="122"/>
      <c r="F2" s="122"/>
      <c r="G2" s="122"/>
      <c r="H2" s="122"/>
      <c r="I2" s="122"/>
      <c r="M2" s="122">
        <v>2019</v>
      </c>
      <c r="N2" s="122"/>
      <c r="O2" s="122"/>
      <c r="P2" s="122"/>
      <c r="Q2" s="122"/>
      <c r="R2" s="122"/>
      <c r="S2" s="122"/>
      <c r="T2" s="122"/>
    </row>
    <row r="3" spans="2:20" ht="15.75" x14ac:dyDescent="0.25">
      <c r="B3" s="122" t="s">
        <v>69</v>
      </c>
      <c r="C3" s="122"/>
      <c r="D3" s="122"/>
      <c r="E3" s="122"/>
      <c r="F3" s="122"/>
      <c r="G3" s="122"/>
      <c r="H3" s="122"/>
      <c r="I3" s="122"/>
      <c r="M3" s="122" t="s">
        <v>69</v>
      </c>
      <c r="N3" s="122"/>
      <c r="O3" s="122"/>
      <c r="P3" s="122"/>
      <c r="Q3" s="122"/>
      <c r="R3" s="122"/>
      <c r="S3" s="122"/>
      <c r="T3" s="122"/>
    </row>
    <row r="4" spans="2:20" ht="15.75" x14ac:dyDescent="0.25">
      <c r="B4" s="122" t="s">
        <v>65</v>
      </c>
      <c r="C4" s="122"/>
      <c r="D4" s="122"/>
      <c r="E4" s="122"/>
      <c r="F4" s="122"/>
      <c r="G4" s="122"/>
      <c r="H4" s="122"/>
      <c r="I4" s="122"/>
      <c r="M4" s="122" t="s">
        <v>65</v>
      </c>
      <c r="N4" s="122"/>
      <c r="O4" s="122"/>
      <c r="P4" s="122"/>
      <c r="Q4" s="122"/>
      <c r="R4" s="122"/>
      <c r="S4" s="122"/>
      <c r="T4" s="122"/>
    </row>
    <row r="5" spans="2:20" x14ac:dyDescent="0.2">
      <c r="M5" s="1"/>
      <c r="N5" s="1"/>
      <c r="O5" s="1"/>
      <c r="P5" s="1"/>
      <c r="Q5" s="1"/>
      <c r="R5" s="1"/>
      <c r="S5" s="1"/>
      <c r="T5" s="1"/>
    </row>
    <row r="6" spans="2:20" x14ac:dyDescent="0.2">
      <c r="B6" s="16" t="s">
        <v>2</v>
      </c>
      <c r="M6" s="16" t="s">
        <v>2</v>
      </c>
      <c r="N6" s="1"/>
      <c r="O6" s="1"/>
      <c r="P6" s="1"/>
      <c r="Q6" s="1"/>
      <c r="R6" s="1"/>
      <c r="S6" s="1"/>
      <c r="T6" s="1"/>
    </row>
    <row r="7" spans="2:20" ht="38.25" x14ac:dyDescent="0.2">
      <c r="B7" s="17" t="s">
        <v>3</v>
      </c>
      <c r="C7" s="17" t="s">
        <v>4</v>
      </c>
      <c r="D7" s="17" t="s">
        <v>82</v>
      </c>
      <c r="E7" s="17" t="s">
        <v>83</v>
      </c>
      <c r="F7" s="17" t="s">
        <v>7</v>
      </c>
      <c r="G7" s="17" t="s">
        <v>8</v>
      </c>
      <c r="H7" s="17" t="s">
        <v>85</v>
      </c>
      <c r="I7" s="17" t="s">
        <v>10</v>
      </c>
      <c r="M7" s="17" t="s">
        <v>3</v>
      </c>
      <c r="N7" s="17" t="s">
        <v>4</v>
      </c>
      <c r="O7" s="17" t="s">
        <v>82</v>
      </c>
      <c r="P7" s="17" t="s">
        <v>83</v>
      </c>
      <c r="Q7" s="17" t="s">
        <v>7</v>
      </c>
      <c r="R7" s="17" t="s">
        <v>8</v>
      </c>
      <c r="S7" s="17" t="s">
        <v>85</v>
      </c>
      <c r="T7" s="17" t="s">
        <v>10</v>
      </c>
    </row>
    <row r="8" spans="2:20" x14ac:dyDescent="0.2">
      <c r="B8" s="2" t="s">
        <v>35</v>
      </c>
      <c r="C8" s="2" t="s">
        <v>36</v>
      </c>
      <c r="D8" s="25">
        <v>5.96E-2</v>
      </c>
      <c r="E8" s="2">
        <v>4</v>
      </c>
      <c r="F8" s="2">
        <v>30</v>
      </c>
      <c r="G8" s="2">
        <v>2</v>
      </c>
      <c r="H8" s="2">
        <f>E8*F8*G8</f>
        <v>240</v>
      </c>
      <c r="I8" s="3">
        <f>D8*H8</f>
        <v>14.304</v>
      </c>
      <c r="M8" s="2" t="s">
        <v>35</v>
      </c>
      <c r="N8" s="2" t="s">
        <v>36</v>
      </c>
      <c r="O8" s="65">
        <v>7.1199999999999999E-2</v>
      </c>
      <c r="P8" s="2">
        <v>4</v>
      </c>
      <c r="Q8" s="2">
        <v>30</v>
      </c>
      <c r="R8" s="2">
        <v>2</v>
      </c>
      <c r="S8" s="2">
        <f>P8*Q8*R8</f>
        <v>240</v>
      </c>
      <c r="T8" s="3">
        <f>O8*S8</f>
        <v>17.088000000000001</v>
      </c>
    </row>
    <row r="9" spans="2:20" x14ac:dyDescent="0.2">
      <c r="F9" s="5"/>
      <c r="G9" s="6"/>
      <c r="H9" s="7" t="s">
        <v>14</v>
      </c>
      <c r="I9" s="8">
        <f>SUM(I8:I8)</f>
        <v>14.304</v>
      </c>
      <c r="M9" s="1"/>
      <c r="N9" s="1"/>
      <c r="O9" s="1"/>
      <c r="P9" s="1"/>
      <c r="Q9" s="5"/>
      <c r="R9" s="6"/>
      <c r="S9" s="7" t="s">
        <v>14</v>
      </c>
      <c r="T9" s="8">
        <f>SUM(T8:T8)</f>
        <v>17.088000000000001</v>
      </c>
    </row>
    <row r="10" spans="2:20" x14ac:dyDescent="0.2">
      <c r="B10" s="18" t="s">
        <v>15</v>
      </c>
      <c r="M10" s="18" t="s">
        <v>15</v>
      </c>
      <c r="N10" s="1"/>
      <c r="O10" s="1"/>
      <c r="P10" s="1"/>
      <c r="Q10" s="1"/>
      <c r="R10" s="1"/>
      <c r="S10" s="1"/>
      <c r="T10" s="1"/>
    </row>
    <row r="11" spans="2:20" ht="38.25" x14ac:dyDescent="0.2">
      <c r="B11" s="19" t="s">
        <v>3</v>
      </c>
      <c r="C11" s="19" t="s">
        <v>4</v>
      </c>
      <c r="D11" s="19" t="s">
        <v>82</v>
      </c>
      <c r="E11" s="19" t="s">
        <v>83</v>
      </c>
      <c r="F11" s="19" t="s">
        <v>7</v>
      </c>
      <c r="G11" s="19" t="s">
        <v>8</v>
      </c>
      <c r="H11" s="19" t="s">
        <v>87</v>
      </c>
      <c r="I11" s="19" t="s">
        <v>26</v>
      </c>
      <c r="M11" s="19" t="s">
        <v>3</v>
      </c>
      <c r="N11" s="19" t="s">
        <v>4</v>
      </c>
      <c r="O11" s="19" t="s">
        <v>82</v>
      </c>
      <c r="P11" s="19" t="s">
        <v>83</v>
      </c>
      <c r="Q11" s="19" t="s">
        <v>7</v>
      </c>
      <c r="R11" s="19" t="s">
        <v>8</v>
      </c>
      <c r="S11" s="19" t="s">
        <v>85</v>
      </c>
      <c r="T11" s="19" t="s">
        <v>26</v>
      </c>
    </row>
    <row r="12" spans="2:20" x14ac:dyDescent="0.2">
      <c r="B12" s="2" t="s">
        <v>37</v>
      </c>
      <c r="C12" s="2" t="s">
        <v>38</v>
      </c>
      <c r="D12" s="25">
        <v>2.9399999999999999E-2</v>
      </c>
      <c r="E12" s="2">
        <v>4</v>
      </c>
      <c r="F12" s="2">
        <v>30</v>
      </c>
      <c r="G12" s="2">
        <v>4</v>
      </c>
      <c r="H12" s="2">
        <f>E12*F12*G12</f>
        <v>480</v>
      </c>
      <c r="I12" s="3">
        <f>D12*H12</f>
        <v>14.112</v>
      </c>
      <c r="M12" s="2" t="s">
        <v>37</v>
      </c>
      <c r="N12" s="2" t="s">
        <v>38</v>
      </c>
      <c r="O12" s="65">
        <v>2.9399999999999999E-2</v>
      </c>
      <c r="P12" s="2">
        <v>4</v>
      </c>
      <c r="Q12" s="2">
        <v>30</v>
      </c>
      <c r="R12" s="2">
        <v>4</v>
      </c>
      <c r="S12" s="2">
        <f>P12*Q12*R12</f>
        <v>480</v>
      </c>
      <c r="T12" s="3">
        <f>O12*S12</f>
        <v>14.112</v>
      </c>
    </row>
    <row r="13" spans="2:20" x14ac:dyDescent="0.2">
      <c r="F13" s="5"/>
      <c r="G13" s="6"/>
      <c r="H13" s="7" t="s">
        <v>48</v>
      </c>
      <c r="I13" s="8">
        <f>SUM(I12:I12)</f>
        <v>14.112</v>
      </c>
      <c r="M13" s="1"/>
      <c r="N13" s="1"/>
      <c r="O13" s="1"/>
      <c r="P13" s="1"/>
      <c r="Q13" s="5"/>
      <c r="R13" s="6"/>
      <c r="S13" s="7" t="s">
        <v>48</v>
      </c>
      <c r="T13" s="8">
        <f>SUM(T12:T12)</f>
        <v>14.112</v>
      </c>
    </row>
    <row r="14" spans="2:20" ht="13.5" thickBot="1" x14ac:dyDescent="0.25">
      <c r="M14" s="1"/>
      <c r="N14" s="1"/>
      <c r="O14" s="1"/>
      <c r="P14" s="1"/>
      <c r="Q14" s="1"/>
      <c r="R14" s="1"/>
      <c r="S14" s="1"/>
      <c r="T14" s="1"/>
    </row>
    <row r="15" spans="2:20" ht="13.5" thickBot="1" x14ac:dyDescent="0.25">
      <c r="H15" s="9" t="s">
        <v>39</v>
      </c>
      <c r="I15" s="11">
        <f>I9+I13</f>
        <v>28.416</v>
      </c>
      <c r="M15" s="1"/>
      <c r="N15" s="1"/>
      <c r="O15" s="1"/>
      <c r="P15" s="1"/>
      <c r="Q15" s="1"/>
      <c r="R15" s="1"/>
      <c r="S15" s="9" t="s">
        <v>39</v>
      </c>
      <c r="T15" s="11">
        <f>T9+T13</f>
        <v>31.200000000000003</v>
      </c>
    </row>
    <row r="16" spans="2:20" x14ac:dyDescent="0.2">
      <c r="H16" s="9"/>
      <c r="I16" s="10"/>
    </row>
    <row r="20" spans="13:15" x14ac:dyDescent="0.2">
      <c r="M20" s="1"/>
      <c r="O20" s="128"/>
    </row>
    <row r="21" spans="13:15" x14ac:dyDescent="0.2">
      <c r="M21" s="1"/>
      <c r="O21" s="128"/>
    </row>
  </sheetData>
  <mergeCells count="6">
    <mergeCell ref="B2:I2"/>
    <mergeCell ref="M2:T2"/>
    <mergeCell ref="B3:I3"/>
    <mergeCell ref="M3:T3"/>
    <mergeCell ref="B4:I4"/>
    <mergeCell ref="M4:T4"/>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CC6D-C938-45BC-8953-578DFA796EA2}">
  <sheetPr>
    <tabColor theme="6" tint="0.59999389629810485"/>
  </sheetPr>
  <dimension ref="B1:T22"/>
  <sheetViews>
    <sheetView showGridLines="0" workbookViewId="0">
      <selection activeCell="M19" sqref="M19:P25"/>
    </sheetView>
  </sheetViews>
  <sheetFormatPr defaultRowHeight="12.75" x14ac:dyDescent="0.2"/>
  <cols>
    <col min="2" max="2" width="21.28515625" style="1" customWidth="1"/>
    <col min="3" max="3" width="9" style="1" customWidth="1"/>
    <col min="4" max="4" width="9.5703125" style="1" customWidth="1"/>
    <col min="5" max="6" width="8.85546875" style="1" bestFit="1" customWidth="1"/>
    <col min="7" max="7" width="7.5703125" style="1" customWidth="1"/>
    <col min="8" max="8" width="14.5703125" style="1" customWidth="1"/>
    <col min="9" max="9" width="12.28515625" style="1" customWidth="1"/>
    <col min="11" max="11" width="9.140625" style="14"/>
    <col min="13" max="13" width="19.42578125" bestFit="1" customWidth="1"/>
    <col min="19" max="19" width="14.5703125" customWidth="1"/>
    <col min="20" max="20" width="12.28515625" customWidth="1"/>
  </cols>
  <sheetData>
    <row r="1" spans="2:20" x14ac:dyDescent="0.2">
      <c r="M1" s="1"/>
      <c r="N1" s="1"/>
      <c r="O1" s="1"/>
      <c r="P1" s="1"/>
      <c r="Q1" s="1"/>
      <c r="R1" s="1"/>
      <c r="S1" s="1"/>
      <c r="T1" s="1"/>
    </row>
    <row r="2" spans="2:20" ht="15.75" x14ac:dyDescent="0.25">
      <c r="B2" s="122">
        <v>2018</v>
      </c>
      <c r="C2" s="122"/>
      <c r="D2" s="122"/>
      <c r="E2" s="122"/>
      <c r="F2" s="122"/>
      <c r="G2" s="122"/>
      <c r="H2" s="122"/>
      <c r="I2" s="122"/>
      <c r="M2" s="122">
        <v>2019</v>
      </c>
      <c r="N2" s="122"/>
      <c r="O2" s="122"/>
      <c r="P2" s="122"/>
      <c r="Q2" s="122"/>
      <c r="R2" s="122"/>
      <c r="S2" s="122"/>
      <c r="T2" s="122"/>
    </row>
    <row r="3" spans="2:20" ht="15.75" x14ac:dyDescent="0.25">
      <c r="B3" s="122" t="s">
        <v>69</v>
      </c>
      <c r="C3" s="122"/>
      <c r="D3" s="122"/>
      <c r="E3" s="122"/>
      <c r="F3" s="122"/>
      <c r="G3" s="122"/>
      <c r="H3" s="122"/>
      <c r="I3" s="122"/>
      <c r="M3" s="122" t="s">
        <v>69</v>
      </c>
      <c r="N3" s="122"/>
      <c r="O3" s="122"/>
      <c r="P3" s="122"/>
      <c r="Q3" s="122"/>
      <c r="R3" s="122"/>
      <c r="S3" s="122"/>
      <c r="T3" s="122"/>
    </row>
    <row r="4" spans="2:20" ht="15.75" x14ac:dyDescent="0.25">
      <c r="B4" s="122" t="s">
        <v>64</v>
      </c>
      <c r="C4" s="122"/>
      <c r="D4" s="122"/>
      <c r="E4" s="122"/>
      <c r="F4" s="122"/>
      <c r="G4" s="122"/>
      <c r="H4" s="122"/>
      <c r="I4" s="122"/>
      <c r="M4" s="122" t="s">
        <v>64</v>
      </c>
      <c r="N4" s="122"/>
      <c r="O4" s="122"/>
      <c r="P4" s="122"/>
      <c r="Q4" s="122"/>
      <c r="R4" s="122"/>
      <c r="S4" s="122"/>
      <c r="T4" s="122"/>
    </row>
    <row r="5" spans="2:20" x14ac:dyDescent="0.2">
      <c r="M5" s="1"/>
      <c r="N5" s="1"/>
      <c r="O5" s="1"/>
      <c r="P5" s="1"/>
      <c r="Q5" s="1"/>
      <c r="R5" s="1"/>
      <c r="S5" s="1"/>
      <c r="T5" s="1"/>
    </row>
    <row r="6" spans="2:20" x14ac:dyDescent="0.2">
      <c r="B6" s="16" t="s">
        <v>2</v>
      </c>
      <c r="M6" s="16" t="s">
        <v>2</v>
      </c>
      <c r="N6" s="1"/>
      <c r="O6" s="1"/>
      <c r="P6" s="1"/>
      <c r="Q6" s="1"/>
      <c r="R6" s="1"/>
      <c r="S6" s="1"/>
      <c r="T6" s="1"/>
    </row>
    <row r="7" spans="2:20" ht="38.25" x14ac:dyDescent="0.2">
      <c r="B7" s="17" t="s">
        <v>3</v>
      </c>
      <c r="C7" s="17" t="s">
        <v>4</v>
      </c>
      <c r="D7" s="17" t="s">
        <v>82</v>
      </c>
      <c r="E7" s="17" t="s">
        <v>83</v>
      </c>
      <c r="F7" s="17" t="s">
        <v>7</v>
      </c>
      <c r="G7" s="17" t="s">
        <v>8</v>
      </c>
      <c r="H7" s="17" t="s">
        <v>87</v>
      </c>
      <c r="I7" s="17" t="s">
        <v>10</v>
      </c>
      <c r="M7" s="17" t="s">
        <v>3</v>
      </c>
      <c r="N7" s="17" t="s">
        <v>4</v>
      </c>
      <c r="O7" s="17" t="s">
        <v>82</v>
      </c>
      <c r="P7" s="17" t="s">
        <v>83</v>
      </c>
      <c r="Q7" s="17" t="s">
        <v>7</v>
      </c>
      <c r="R7" s="17" t="s">
        <v>8</v>
      </c>
      <c r="S7" s="17" t="s">
        <v>85</v>
      </c>
      <c r="T7" s="17" t="s">
        <v>10</v>
      </c>
    </row>
    <row r="8" spans="2:20" x14ac:dyDescent="0.2">
      <c r="B8" s="2" t="s">
        <v>35</v>
      </c>
      <c r="C8" s="2" t="s">
        <v>36</v>
      </c>
      <c r="D8" s="25">
        <v>6.6199999999999995E-2</v>
      </c>
      <c r="E8" s="2">
        <v>5</v>
      </c>
      <c r="F8" s="2">
        <v>30</v>
      </c>
      <c r="G8" s="2">
        <v>2</v>
      </c>
      <c r="H8" s="2">
        <f>E8*F8*G8</f>
        <v>300</v>
      </c>
      <c r="I8" s="3">
        <f>D8*H8</f>
        <v>19.86</v>
      </c>
      <c r="M8" s="2" t="s">
        <v>35</v>
      </c>
      <c r="N8" s="2" t="s">
        <v>36</v>
      </c>
      <c r="O8" s="63">
        <v>7.6740000000000003E-2</v>
      </c>
      <c r="P8" s="2">
        <v>5</v>
      </c>
      <c r="Q8" s="2">
        <v>30</v>
      </c>
      <c r="R8" s="2">
        <v>2</v>
      </c>
      <c r="S8" s="2">
        <f>P8*Q8*R8</f>
        <v>300</v>
      </c>
      <c r="T8" s="3">
        <f>O8*S8</f>
        <v>23.022000000000002</v>
      </c>
    </row>
    <row r="9" spans="2:20" x14ac:dyDescent="0.2">
      <c r="F9" s="5"/>
      <c r="G9" s="6"/>
      <c r="H9" s="7" t="s">
        <v>14</v>
      </c>
      <c r="I9" s="8">
        <f>SUM(I8:I8)</f>
        <v>19.86</v>
      </c>
      <c r="M9" s="1"/>
      <c r="N9" s="1"/>
      <c r="O9" s="1"/>
      <c r="P9" s="1"/>
      <c r="Q9" s="5"/>
      <c r="R9" s="6"/>
      <c r="S9" s="7" t="s">
        <v>14</v>
      </c>
      <c r="T9" s="8">
        <f>SUM(T8:T8)</f>
        <v>23.022000000000002</v>
      </c>
    </row>
    <row r="10" spans="2:20" x14ac:dyDescent="0.2">
      <c r="B10" s="18" t="s">
        <v>15</v>
      </c>
      <c r="M10" s="18" t="s">
        <v>15</v>
      </c>
      <c r="N10" s="1"/>
      <c r="O10" s="1"/>
      <c r="P10" s="1"/>
      <c r="Q10" s="1"/>
      <c r="R10" s="1"/>
      <c r="S10" s="1"/>
      <c r="T10" s="1"/>
    </row>
    <row r="11" spans="2:20" ht="39" thickBot="1" x14ac:dyDescent="0.25">
      <c r="B11" s="19" t="s">
        <v>3</v>
      </c>
      <c r="C11" s="19" t="s">
        <v>4</v>
      </c>
      <c r="D11" s="19" t="s">
        <v>82</v>
      </c>
      <c r="E11" s="19" t="s">
        <v>83</v>
      </c>
      <c r="F11" s="19" t="s">
        <v>7</v>
      </c>
      <c r="G11" s="19" t="s">
        <v>8</v>
      </c>
      <c r="H11" s="19" t="s">
        <v>87</v>
      </c>
      <c r="I11" s="19" t="s">
        <v>26</v>
      </c>
      <c r="M11" s="19" t="s">
        <v>3</v>
      </c>
      <c r="N11" s="19" t="s">
        <v>4</v>
      </c>
      <c r="O11" s="19" t="s">
        <v>82</v>
      </c>
      <c r="P11" s="19" t="s">
        <v>83</v>
      </c>
      <c r="Q11" s="19" t="s">
        <v>7</v>
      </c>
      <c r="R11" s="19" t="s">
        <v>8</v>
      </c>
      <c r="S11" s="19" t="s">
        <v>88</v>
      </c>
      <c r="T11" s="19" t="s">
        <v>26</v>
      </c>
    </row>
    <row r="12" spans="2:20" x14ac:dyDescent="0.2">
      <c r="B12" s="2" t="s">
        <v>37</v>
      </c>
      <c r="C12" s="2" t="s">
        <v>38</v>
      </c>
      <c r="D12" s="25">
        <v>3.2199999999999999E-2</v>
      </c>
      <c r="E12" s="2">
        <v>5</v>
      </c>
      <c r="F12" s="2">
        <v>30</v>
      </c>
      <c r="G12" s="2">
        <v>4</v>
      </c>
      <c r="H12" s="2">
        <f>E12*F12*G12</f>
        <v>600</v>
      </c>
      <c r="I12" s="3">
        <f>D12*H12</f>
        <v>19.32</v>
      </c>
      <c r="M12" s="2" t="s">
        <v>37</v>
      </c>
      <c r="N12" s="2" t="s">
        <v>38</v>
      </c>
      <c r="O12" s="64">
        <v>3.5741071428571428E-2</v>
      </c>
      <c r="P12" s="2">
        <v>5</v>
      </c>
      <c r="Q12" s="2">
        <v>30</v>
      </c>
      <c r="R12" s="2">
        <v>4</v>
      </c>
      <c r="S12" s="2">
        <f>P12*Q12*R12</f>
        <v>600</v>
      </c>
      <c r="T12" s="3">
        <f>O12*S12</f>
        <v>21.444642857142856</v>
      </c>
    </row>
    <row r="13" spans="2:20" x14ac:dyDescent="0.2">
      <c r="F13" s="5"/>
      <c r="G13" s="6"/>
      <c r="H13" s="7" t="s">
        <v>48</v>
      </c>
      <c r="I13" s="8">
        <f>SUM(I12:I12)</f>
        <v>19.32</v>
      </c>
      <c r="M13" s="1"/>
      <c r="N13" s="1"/>
      <c r="O13" s="1"/>
      <c r="P13" s="1"/>
      <c r="Q13" s="5"/>
      <c r="R13" s="6"/>
      <c r="S13" s="7" t="s">
        <v>48</v>
      </c>
      <c r="T13" s="8">
        <f>SUM(T12:T12)</f>
        <v>21.444642857142856</v>
      </c>
    </row>
    <row r="14" spans="2:20" ht="13.5" thickBot="1" x14ac:dyDescent="0.25">
      <c r="M14" s="1"/>
      <c r="N14" s="1"/>
      <c r="O14" s="1"/>
      <c r="P14" s="1"/>
      <c r="Q14" s="1"/>
      <c r="R14" s="1"/>
      <c r="S14" s="1"/>
      <c r="T14" s="1"/>
    </row>
    <row r="15" spans="2:20" ht="13.5" thickBot="1" x14ac:dyDescent="0.25">
      <c r="H15" s="9" t="s">
        <v>39</v>
      </c>
      <c r="I15" s="11">
        <f>I9+I13</f>
        <v>39.18</v>
      </c>
      <c r="M15" s="1"/>
      <c r="N15" s="1"/>
      <c r="O15" s="1"/>
      <c r="P15" s="1"/>
      <c r="Q15" s="1"/>
      <c r="R15" s="1"/>
      <c r="S15" s="9" t="s">
        <v>39</v>
      </c>
      <c r="T15" s="11">
        <f>T9+T13</f>
        <v>44.466642857142858</v>
      </c>
    </row>
    <row r="16" spans="2:20" x14ac:dyDescent="0.2">
      <c r="H16" s="9"/>
      <c r="I16" s="10"/>
    </row>
    <row r="21" spans="13:15" x14ac:dyDescent="0.2">
      <c r="M21" s="1"/>
      <c r="O21" s="128"/>
    </row>
    <row r="22" spans="13:15" x14ac:dyDescent="0.2">
      <c r="M22" s="1"/>
      <c r="O22" s="128"/>
    </row>
  </sheetData>
  <mergeCells count="6">
    <mergeCell ref="B2:I2"/>
    <mergeCell ref="B3:I3"/>
    <mergeCell ref="B4:I4"/>
    <mergeCell ref="M2:T2"/>
    <mergeCell ref="M3:T3"/>
    <mergeCell ref="M4:T4"/>
  </mergeCell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5D6C6-B85A-4B51-B136-E2D3C1A0390F}">
  <sheetPr>
    <tabColor theme="6" tint="0.59999389629810485"/>
  </sheetPr>
  <dimension ref="B1:T22"/>
  <sheetViews>
    <sheetView showGridLines="0" workbookViewId="0">
      <selection activeCell="L19" sqref="L19:R28"/>
    </sheetView>
  </sheetViews>
  <sheetFormatPr defaultRowHeight="12.75" x14ac:dyDescent="0.2"/>
  <cols>
    <col min="2" max="2" width="21.28515625" style="1" customWidth="1"/>
    <col min="3" max="3" width="9" style="1" customWidth="1"/>
    <col min="4" max="4" width="9.5703125" style="1" customWidth="1"/>
    <col min="5" max="6" width="8.85546875" style="1" bestFit="1" customWidth="1"/>
    <col min="7" max="7" width="7.5703125" style="1" customWidth="1"/>
    <col min="8" max="8" width="14.5703125" style="1" customWidth="1"/>
    <col min="9" max="9" width="12.28515625" style="1" customWidth="1"/>
    <col min="11" max="11" width="9.140625" style="14"/>
    <col min="13" max="13" width="19.42578125" bestFit="1" customWidth="1"/>
    <col min="19" max="19" width="14.5703125" customWidth="1"/>
    <col min="20" max="20" width="12.28515625" customWidth="1"/>
  </cols>
  <sheetData>
    <row r="1" spans="2:20" ht="15.75" x14ac:dyDescent="0.25">
      <c r="B1" s="30" t="s">
        <v>98</v>
      </c>
      <c r="M1" s="30" t="s">
        <v>98</v>
      </c>
      <c r="N1" s="1"/>
      <c r="O1" s="1"/>
      <c r="P1" s="1"/>
      <c r="Q1" s="1"/>
      <c r="R1" s="1"/>
      <c r="S1" s="1"/>
      <c r="T1" s="1"/>
    </row>
    <row r="2" spans="2:20" ht="15.75" x14ac:dyDescent="0.25">
      <c r="B2" s="122">
        <v>2018</v>
      </c>
      <c r="C2" s="122"/>
      <c r="D2" s="122"/>
      <c r="E2" s="122"/>
      <c r="F2" s="122"/>
      <c r="G2" s="122"/>
      <c r="H2" s="122"/>
      <c r="I2" s="122"/>
      <c r="M2" s="122">
        <v>2019</v>
      </c>
      <c r="N2" s="122"/>
      <c r="O2" s="122"/>
      <c r="P2" s="122"/>
      <c r="Q2" s="122"/>
      <c r="R2" s="122"/>
      <c r="S2" s="122"/>
      <c r="T2" s="122"/>
    </row>
    <row r="3" spans="2:20" ht="15.75" x14ac:dyDescent="0.25">
      <c r="B3" s="122" t="s">
        <v>69</v>
      </c>
      <c r="C3" s="122"/>
      <c r="D3" s="122"/>
      <c r="E3" s="122"/>
      <c r="F3" s="122"/>
      <c r="G3" s="122"/>
      <c r="H3" s="122"/>
      <c r="I3" s="122"/>
      <c r="M3" s="122" t="s">
        <v>69</v>
      </c>
      <c r="N3" s="122"/>
      <c r="O3" s="122"/>
      <c r="P3" s="122"/>
      <c r="Q3" s="122"/>
      <c r="R3" s="122"/>
      <c r="S3" s="122"/>
      <c r="T3" s="122"/>
    </row>
    <row r="4" spans="2:20" ht="15.75" x14ac:dyDescent="0.25">
      <c r="B4" s="122" t="s">
        <v>64</v>
      </c>
      <c r="C4" s="122"/>
      <c r="D4" s="122"/>
      <c r="E4" s="122"/>
      <c r="F4" s="122"/>
      <c r="G4" s="122"/>
      <c r="H4" s="122"/>
      <c r="I4" s="122"/>
      <c r="M4" s="122" t="s">
        <v>64</v>
      </c>
      <c r="N4" s="122"/>
      <c r="O4" s="122"/>
      <c r="P4" s="122"/>
      <c r="Q4" s="122"/>
      <c r="R4" s="122"/>
      <c r="S4" s="122"/>
      <c r="T4" s="122"/>
    </row>
    <row r="5" spans="2:20" x14ac:dyDescent="0.2">
      <c r="M5" s="1"/>
      <c r="N5" s="1"/>
      <c r="O5" s="1"/>
      <c r="P5" s="1"/>
      <c r="Q5" s="1"/>
      <c r="R5" s="1"/>
      <c r="S5" s="1"/>
      <c r="T5" s="1"/>
    </row>
    <row r="6" spans="2:20" x14ac:dyDescent="0.2">
      <c r="B6" s="16" t="s">
        <v>2</v>
      </c>
      <c r="M6" s="16" t="s">
        <v>2</v>
      </c>
      <c r="N6" s="1"/>
      <c r="O6" s="1"/>
      <c r="P6" s="1"/>
      <c r="Q6" s="1"/>
      <c r="R6" s="1"/>
      <c r="S6" s="1"/>
      <c r="T6" s="1"/>
    </row>
    <row r="7" spans="2:20" ht="38.25" x14ac:dyDescent="0.2">
      <c r="B7" s="17" t="s">
        <v>3</v>
      </c>
      <c r="C7" s="17" t="s">
        <v>4</v>
      </c>
      <c r="D7" s="17" t="s">
        <v>82</v>
      </c>
      <c r="E7" s="17" t="s">
        <v>83</v>
      </c>
      <c r="F7" s="17" t="s">
        <v>7</v>
      </c>
      <c r="G7" s="17" t="s">
        <v>8</v>
      </c>
      <c r="H7" s="17" t="s">
        <v>87</v>
      </c>
      <c r="I7" s="17" t="s">
        <v>10</v>
      </c>
      <c r="M7" s="17" t="s">
        <v>3</v>
      </c>
      <c r="N7" s="17" t="s">
        <v>4</v>
      </c>
      <c r="O7" s="17" t="s">
        <v>82</v>
      </c>
      <c r="P7" s="17" t="s">
        <v>83</v>
      </c>
      <c r="Q7" s="17" t="s">
        <v>7</v>
      </c>
      <c r="R7" s="17" t="s">
        <v>8</v>
      </c>
      <c r="S7" s="17" t="s">
        <v>85</v>
      </c>
      <c r="T7" s="17" t="s">
        <v>10</v>
      </c>
    </row>
    <row r="8" spans="2:20" x14ac:dyDescent="0.2">
      <c r="B8" s="2" t="s">
        <v>35</v>
      </c>
      <c r="C8" s="2" t="s">
        <v>36</v>
      </c>
      <c r="D8" s="25">
        <v>5.96E-2</v>
      </c>
      <c r="E8" s="2">
        <v>5</v>
      </c>
      <c r="F8" s="2">
        <v>30</v>
      </c>
      <c r="G8" s="2">
        <v>2</v>
      </c>
      <c r="H8" s="2">
        <f>E8*F8*G8</f>
        <v>300</v>
      </c>
      <c r="I8" s="3">
        <f>D8*H8</f>
        <v>17.88</v>
      </c>
      <c r="M8" s="2" t="s">
        <v>35</v>
      </c>
      <c r="N8" s="2" t="s">
        <v>36</v>
      </c>
      <c r="O8" s="65">
        <v>7.1199999999999999E-2</v>
      </c>
      <c r="P8" s="2">
        <v>5</v>
      </c>
      <c r="Q8" s="2">
        <v>30</v>
      </c>
      <c r="R8" s="2">
        <v>2</v>
      </c>
      <c r="S8" s="2">
        <f>P8*Q8*R8</f>
        <v>300</v>
      </c>
      <c r="T8" s="3">
        <f>O8*S8</f>
        <v>21.36</v>
      </c>
    </row>
    <row r="9" spans="2:20" x14ac:dyDescent="0.2">
      <c r="F9" s="5"/>
      <c r="G9" s="6"/>
      <c r="H9" s="7" t="s">
        <v>14</v>
      </c>
      <c r="I9" s="8">
        <f>SUM(I8:I8)</f>
        <v>17.88</v>
      </c>
      <c r="M9" s="1"/>
      <c r="N9" s="1"/>
      <c r="O9" s="1"/>
      <c r="P9" s="1"/>
      <c r="Q9" s="5"/>
      <c r="R9" s="6"/>
      <c r="S9" s="7" t="s">
        <v>14</v>
      </c>
      <c r="T9" s="8">
        <f>SUM(T8:T8)</f>
        <v>21.36</v>
      </c>
    </row>
    <row r="10" spans="2:20" x14ac:dyDescent="0.2">
      <c r="B10" s="18" t="s">
        <v>15</v>
      </c>
      <c r="M10" s="18" t="s">
        <v>15</v>
      </c>
      <c r="N10" s="1"/>
      <c r="O10" s="1"/>
      <c r="P10" s="1"/>
      <c r="Q10" s="1"/>
      <c r="R10" s="1"/>
      <c r="S10" s="1"/>
      <c r="T10" s="1"/>
    </row>
    <row r="11" spans="2:20" ht="38.25" x14ac:dyDescent="0.2">
      <c r="B11" s="19" t="s">
        <v>3</v>
      </c>
      <c r="C11" s="19" t="s">
        <v>4</v>
      </c>
      <c r="D11" s="19" t="s">
        <v>82</v>
      </c>
      <c r="E11" s="19" t="s">
        <v>83</v>
      </c>
      <c r="F11" s="19" t="s">
        <v>7</v>
      </c>
      <c r="G11" s="19" t="s">
        <v>8</v>
      </c>
      <c r="H11" s="19" t="s">
        <v>87</v>
      </c>
      <c r="I11" s="19" t="s">
        <v>26</v>
      </c>
      <c r="M11" s="19" t="s">
        <v>3</v>
      </c>
      <c r="N11" s="19" t="s">
        <v>4</v>
      </c>
      <c r="O11" s="19" t="s">
        <v>82</v>
      </c>
      <c r="P11" s="19" t="s">
        <v>83</v>
      </c>
      <c r="Q11" s="19" t="s">
        <v>7</v>
      </c>
      <c r="R11" s="19" t="s">
        <v>8</v>
      </c>
      <c r="S11" s="19" t="s">
        <v>88</v>
      </c>
      <c r="T11" s="19" t="s">
        <v>26</v>
      </c>
    </row>
    <row r="12" spans="2:20" x14ac:dyDescent="0.2">
      <c r="B12" s="2" t="s">
        <v>37</v>
      </c>
      <c r="C12" s="2" t="s">
        <v>38</v>
      </c>
      <c r="D12" s="25">
        <v>2.9399999999999999E-2</v>
      </c>
      <c r="E12" s="2">
        <v>5</v>
      </c>
      <c r="F12" s="2">
        <v>30</v>
      </c>
      <c r="G12" s="2">
        <v>4</v>
      </c>
      <c r="H12" s="2">
        <f>E12*F12*G12</f>
        <v>600</v>
      </c>
      <c r="I12" s="3">
        <f>D12*H12</f>
        <v>17.64</v>
      </c>
      <c r="M12" s="2" t="s">
        <v>37</v>
      </c>
      <c r="N12" s="2" t="s">
        <v>38</v>
      </c>
      <c r="O12" s="65">
        <v>2.9399999999999999E-2</v>
      </c>
      <c r="P12" s="2">
        <v>5</v>
      </c>
      <c r="Q12" s="2">
        <v>30</v>
      </c>
      <c r="R12" s="2">
        <v>4</v>
      </c>
      <c r="S12" s="2">
        <f>P12*Q12*R12</f>
        <v>600</v>
      </c>
      <c r="T12" s="3">
        <f>O12*S12</f>
        <v>17.64</v>
      </c>
    </row>
    <row r="13" spans="2:20" x14ac:dyDescent="0.2">
      <c r="F13" s="5"/>
      <c r="G13" s="6"/>
      <c r="H13" s="7" t="s">
        <v>48</v>
      </c>
      <c r="I13" s="8">
        <f>SUM(I12:I12)</f>
        <v>17.64</v>
      </c>
      <c r="M13" s="1"/>
      <c r="N13" s="1"/>
      <c r="O13" s="1"/>
      <c r="P13" s="1"/>
      <c r="Q13" s="5"/>
      <c r="R13" s="6"/>
      <c r="S13" s="7" t="s">
        <v>48</v>
      </c>
      <c r="T13" s="8">
        <f>SUM(T12:T12)</f>
        <v>17.64</v>
      </c>
    </row>
    <row r="14" spans="2:20" ht="13.5" thickBot="1" x14ac:dyDescent="0.25">
      <c r="M14" s="1"/>
      <c r="N14" s="1"/>
      <c r="O14" s="1"/>
      <c r="P14" s="1"/>
      <c r="Q14" s="1"/>
      <c r="R14" s="1"/>
      <c r="S14" s="1"/>
      <c r="T14" s="1"/>
    </row>
    <row r="15" spans="2:20" ht="13.5" thickBot="1" x14ac:dyDescent="0.25">
      <c r="H15" s="9" t="s">
        <v>39</v>
      </c>
      <c r="I15" s="11">
        <f>I9+I13</f>
        <v>35.519999999999996</v>
      </c>
      <c r="M15" s="1"/>
      <c r="N15" s="1"/>
      <c r="O15" s="1"/>
      <c r="P15" s="1"/>
      <c r="Q15" s="1"/>
      <c r="R15" s="1"/>
      <c r="S15" s="9" t="s">
        <v>39</v>
      </c>
      <c r="T15" s="11">
        <f>T9+T13</f>
        <v>39</v>
      </c>
    </row>
    <row r="16" spans="2:20" x14ac:dyDescent="0.2">
      <c r="H16" s="9"/>
      <c r="I16" s="10"/>
    </row>
    <row r="21" spans="13:15" x14ac:dyDescent="0.2">
      <c r="M21" s="1"/>
      <c r="O21" s="128"/>
    </row>
    <row r="22" spans="13:15" x14ac:dyDescent="0.2">
      <c r="M22" s="1"/>
      <c r="O22" s="128"/>
    </row>
  </sheetData>
  <mergeCells count="6">
    <mergeCell ref="B2:I2"/>
    <mergeCell ref="M2:T2"/>
    <mergeCell ref="B3:I3"/>
    <mergeCell ref="M3:T3"/>
    <mergeCell ref="B4:I4"/>
    <mergeCell ref="M4:T4"/>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89595-37D7-4629-82DE-8237DEBEBF7E}">
  <sheetPr>
    <tabColor rgb="FFFF0000"/>
  </sheetPr>
  <dimension ref="B2:Z39"/>
  <sheetViews>
    <sheetView showGridLines="0" topLeftCell="A4" zoomScaleNormal="100" workbookViewId="0">
      <selection activeCell="N31" sqref="N31"/>
    </sheetView>
  </sheetViews>
  <sheetFormatPr defaultRowHeight="12.75" x14ac:dyDescent="0.2"/>
  <cols>
    <col min="1" max="1" width="9.140625" style="34"/>
    <col min="2" max="2" width="16.28515625" style="34" bestFit="1" customWidth="1"/>
    <col min="3" max="3" width="9" style="34" customWidth="1"/>
    <col min="4" max="4" width="9.5703125" style="35" customWidth="1"/>
    <col min="5" max="5" width="9.42578125" style="34" customWidth="1"/>
    <col min="6" max="6" width="11.5703125" style="34" customWidth="1"/>
    <col min="7" max="7" width="10" style="34" customWidth="1"/>
    <col min="8" max="8" width="13.140625" style="34" customWidth="1"/>
    <col min="9" max="9" width="12.28515625" style="34" customWidth="1"/>
    <col min="10" max="10" width="9.140625" style="31"/>
    <col min="11" max="11" width="9.140625" style="32"/>
    <col min="12" max="12" width="9.140625" style="31"/>
    <col min="13" max="13" width="16.28515625" style="34" bestFit="1" customWidth="1"/>
    <col min="14" max="14" width="9" style="34" customWidth="1"/>
    <col min="15" max="15" width="9.5703125" style="34" customWidth="1"/>
    <col min="16" max="16" width="10.140625" style="34" customWidth="1"/>
    <col min="17" max="17" width="8.85546875" style="34" bestFit="1" customWidth="1"/>
    <col min="18" max="18" width="7.5703125" style="34" customWidth="1"/>
    <col min="19" max="19" width="14.5703125" style="34" customWidth="1"/>
    <col min="20" max="20" width="12.28515625" style="34" customWidth="1"/>
    <col min="21" max="26" width="9.140625" style="31"/>
    <col min="27" max="16384" width="9.140625" style="34"/>
  </cols>
  <sheetData>
    <row r="2" spans="2:20" ht="15.75" x14ac:dyDescent="0.25">
      <c r="B2" s="123">
        <v>2018</v>
      </c>
      <c r="C2" s="123"/>
      <c r="D2" s="123"/>
      <c r="E2" s="123"/>
      <c r="F2" s="123"/>
      <c r="G2" s="123"/>
      <c r="H2" s="123"/>
      <c r="I2" s="123"/>
      <c r="M2" s="123">
        <v>2019</v>
      </c>
      <c r="N2" s="123"/>
      <c r="O2" s="123"/>
      <c r="P2" s="123"/>
      <c r="Q2" s="123"/>
      <c r="R2" s="123"/>
      <c r="S2" s="123"/>
      <c r="T2" s="123"/>
    </row>
    <row r="3" spans="2:20" ht="15.75" customHeight="1" x14ac:dyDescent="0.25">
      <c r="B3" s="123" t="s">
        <v>104</v>
      </c>
      <c r="C3" s="123"/>
      <c r="D3" s="123"/>
      <c r="E3" s="123"/>
      <c r="F3" s="123"/>
      <c r="G3" s="123"/>
      <c r="H3" s="123"/>
      <c r="I3" s="123"/>
      <c r="M3" s="123" t="s">
        <v>104</v>
      </c>
      <c r="N3" s="123"/>
      <c r="O3" s="123"/>
      <c r="P3" s="123"/>
      <c r="Q3" s="123"/>
      <c r="R3" s="123"/>
      <c r="S3" s="123"/>
      <c r="T3" s="123"/>
    </row>
    <row r="4" spans="2:20" ht="15.75" x14ac:dyDescent="0.25">
      <c r="B4" s="123" t="s">
        <v>63</v>
      </c>
      <c r="C4" s="123"/>
      <c r="D4" s="123"/>
      <c r="E4" s="123"/>
      <c r="F4" s="123"/>
      <c r="G4" s="123"/>
      <c r="H4" s="123"/>
      <c r="I4" s="123"/>
      <c r="M4" s="123" t="s">
        <v>63</v>
      </c>
      <c r="N4" s="123"/>
      <c r="O4" s="123"/>
      <c r="P4" s="123"/>
      <c r="Q4" s="123"/>
      <c r="R4" s="123"/>
      <c r="S4" s="123"/>
      <c r="T4" s="123"/>
    </row>
    <row r="6" spans="2:20" x14ac:dyDescent="0.2">
      <c r="B6" s="33" t="s">
        <v>2</v>
      </c>
      <c r="M6" s="33" t="s">
        <v>2</v>
      </c>
    </row>
    <row r="7" spans="2:20" ht="51" x14ac:dyDescent="0.2">
      <c r="B7" s="36" t="s">
        <v>3</v>
      </c>
      <c r="C7" s="36" t="s">
        <v>4</v>
      </c>
      <c r="D7" s="37" t="s">
        <v>92</v>
      </c>
      <c r="E7" s="36" t="s">
        <v>93</v>
      </c>
      <c r="F7" s="36" t="s">
        <v>7</v>
      </c>
      <c r="G7" s="36" t="s">
        <v>8</v>
      </c>
      <c r="H7" s="36" t="s">
        <v>91</v>
      </c>
      <c r="I7" s="36" t="s">
        <v>10</v>
      </c>
      <c r="M7" s="36" t="s">
        <v>3</v>
      </c>
      <c r="N7" s="36" t="s">
        <v>4</v>
      </c>
      <c r="O7" s="36" t="s">
        <v>92</v>
      </c>
      <c r="P7" s="36" t="s">
        <v>93</v>
      </c>
      <c r="Q7" s="36" t="s">
        <v>7</v>
      </c>
      <c r="R7" s="36" t="s">
        <v>8</v>
      </c>
      <c r="S7" s="36" t="s">
        <v>91</v>
      </c>
      <c r="T7" s="36" t="s">
        <v>10</v>
      </c>
    </row>
    <row r="8" spans="2:20" x14ac:dyDescent="0.2">
      <c r="B8" s="38" t="s">
        <v>30</v>
      </c>
      <c r="C8" s="38" t="s">
        <v>29</v>
      </c>
      <c r="D8" s="39">
        <v>2.0799999999999999E-2</v>
      </c>
      <c r="E8" s="38">
        <v>3</v>
      </c>
      <c r="F8" s="38">
        <v>30</v>
      </c>
      <c r="G8" s="38">
        <v>8</v>
      </c>
      <c r="H8" s="38">
        <f>E8*F8*G8</f>
        <v>720</v>
      </c>
      <c r="I8" s="40">
        <f>D8*H8</f>
        <v>14.975999999999999</v>
      </c>
      <c r="M8" s="38" t="s">
        <v>30</v>
      </c>
      <c r="N8" s="38" t="s">
        <v>29</v>
      </c>
      <c r="O8" s="41">
        <v>2.0920476190476191E-2</v>
      </c>
      <c r="P8" s="38">
        <v>3</v>
      </c>
      <c r="Q8" s="38">
        <v>30</v>
      </c>
      <c r="R8" s="38">
        <v>8</v>
      </c>
      <c r="S8" s="38">
        <f>P8*Q8*R8</f>
        <v>720</v>
      </c>
      <c r="T8" s="40">
        <f>O8*S8</f>
        <v>15.062742857142858</v>
      </c>
    </row>
    <row r="9" spans="2:20" x14ac:dyDescent="0.2">
      <c r="B9" s="38" t="s">
        <v>25</v>
      </c>
      <c r="C9" s="38" t="s">
        <v>11</v>
      </c>
      <c r="D9" s="39">
        <v>0.92</v>
      </c>
      <c r="E9" s="38">
        <v>1</v>
      </c>
      <c r="F9" s="38">
        <v>30</v>
      </c>
      <c r="G9" s="38">
        <v>8</v>
      </c>
      <c r="H9" s="38">
        <f>E9*F9*G9</f>
        <v>240</v>
      </c>
      <c r="I9" s="40">
        <f>D9*H9</f>
        <v>220.8</v>
      </c>
      <c r="M9" s="38" t="s">
        <v>25</v>
      </c>
      <c r="N9" s="38" t="s">
        <v>11</v>
      </c>
      <c r="O9" s="31">
        <v>0.66700000000000004</v>
      </c>
      <c r="P9" s="38">
        <v>1</v>
      </c>
      <c r="Q9" s="38">
        <v>30</v>
      </c>
      <c r="R9" s="38">
        <v>8</v>
      </c>
      <c r="S9" s="38">
        <f>P9*Q9*R9</f>
        <v>240</v>
      </c>
      <c r="T9" s="40">
        <f>O9*S9</f>
        <v>160.08000000000001</v>
      </c>
    </row>
    <row r="10" spans="2:20" x14ac:dyDescent="0.2">
      <c r="B10" s="38" t="s">
        <v>13</v>
      </c>
      <c r="C10" s="38" t="s">
        <v>0</v>
      </c>
      <c r="D10" s="39">
        <v>2.734E-2</v>
      </c>
      <c r="E10" s="38">
        <v>4</v>
      </c>
      <c r="F10" s="38">
        <v>30</v>
      </c>
      <c r="G10" s="38">
        <v>8</v>
      </c>
      <c r="H10" s="38">
        <f>E10*F10*G10</f>
        <v>960</v>
      </c>
      <c r="I10" s="40">
        <f>D10*H10</f>
        <v>26.246400000000001</v>
      </c>
      <c r="M10" s="38" t="s">
        <v>13</v>
      </c>
      <c r="N10" s="38" t="s">
        <v>0</v>
      </c>
      <c r="O10" s="41">
        <v>2.8150000000000001E-2</v>
      </c>
      <c r="P10" s="38">
        <v>4</v>
      </c>
      <c r="Q10" s="38">
        <v>30</v>
      </c>
      <c r="R10" s="38">
        <v>8</v>
      </c>
      <c r="S10" s="38">
        <f>P10*Q10*R10</f>
        <v>960</v>
      </c>
      <c r="T10" s="40">
        <f>O10*S10</f>
        <v>27.024000000000001</v>
      </c>
    </row>
    <row r="11" spans="2:20" x14ac:dyDescent="0.2">
      <c r="B11" s="38" t="s">
        <v>18</v>
      </c>
      <c r="C11" s="38" t="s">
        <v>0</v>
      </c>
      <c r="D11" s="39">
        <v>7.9299999999999995E-2</v>
      </c>
      <c r="E11" s="38">
        <v>3</v>
      </c>
      <c r="F11" s="38">
        <v>30</v>
      </c>
      <c r="G11" s="38">
        <v>8</v>
      </c>
      <c r="H11" s="38">
        <f>E11*F11*G11</f>
        <v>720</v>
      </c>
      <c r="I11" s="40">
        <f>D11*H11</f>
        <v>57.095999999999997</v>
      </c>
      <c r="M11" s="38" t="s">
        <v>18</v>
      </c>
      <c r="N11" s="38" t="s">
        <v>0</v>
      </c>
      <c r="O11" s="41">
        <v>9.6879999999999994E-2</v>
      </c>
      <c r="P11" s="38">
        <v>3</v>
      </c>
      <c r="Q11" s="38">
        <v>30</v>
      </c>
      <c r="R11" s="38">
        <v>8</v>
      </c>
      <c r="S11" s="38">
        <f>P11*Q11*R11</f>
        <v>720</v>
      </c>
      <c r="T11" s="40">
        <f>O11*S11</f>
        <v>69.753599999999992</v>
      </c>
    </row>
    <row r="12" spans="2:20" x14ac:dyDescent="0.2">
      <c r="B12" s="38" t="s">
        <v>28</v>
      </c>
      <c r="C12" s="38" t="s">
        <v>0</v>
      </c>
      <c r="D12" s="39">
        <v>0.25940000000000002</v>
      </c>
      <c r="E12" s="38">
        <v>2</v>
      </c>
      <c r="F12" s="42">
        <v>30</v>
      </c>
      <c r="G12" s="42">
        <v>8</v>
      </c>
      <c r="H12" s="42">
        <f>E12*F12*G12</f>
        <v>480</v>
      </c>
      <c r="I12" s="40">
        <f>D12*H12</f>
        <v>124.51200000000001</v>
      </c>
      <c r="M12" s="38" t="s">
        <v>28</v>
      </c>
      <c r="N12" s="38" t="s">
        <v>0</v>
      </c>
      <c r="O12" s="41">
        <v>0.25190000000000001</v>
      </c>
      <c r="P12" s="38">
        <v>2</v>
      </c>
      <c r="Q12" s="42">
        <v>30</v>
      </c>
      <c r="R12" s="42">
        <v>8</v>
      </c>
      <c r="S12" s="42">
        <f>P12*Q12*R12</f>
        <v>480</v>
      </c>
      <c r="T12" s="40">
        <f>O12*S12</f>
        <v>120.91200000000001</v>
      </c>
    </row>
    <row r="13" spans="2:20" x14ac:dyDescent="0.2">
      <c r="F13" s="43"/>
      <c r="G13" s="44"/>
      <c r="H13" s="45" t="s">
        <v>14</v>
      </c>
      <c r="I13" s="46">
        <f>SUM(I8:I12)</f>
        <v>443.63040000000001</v>
      </c>
      <c r="Q13" s="43"/>
      <c r="R13" s="44"/>
      <c r="S13" s="45" t="s">
        <v>14</v>
      </c>
      <c r="T13" s="46">
        <f>SUM(T8:T12)</f>
        <v>392.83234285714286</v>
      </c>
    </row>
    <row r="14" spans="2:20" x14ac:dyDescent="0.2">
      <c r="B14" s="47" t="s">
        <v>15</v>
      </c>
      <c r="M14" s="47" t="s">
        <v>15</v>
      </c>
    </row>
    <row r="15" spans="2:20" ht="51" x14ac:dyDescent="0.2">
      <c r="B15" s="48" t="s">
        <v>3</v>
      </c>
      <c r="C15" s="48" t="s">
        <v>4</v>
      </c>
      <c r="D15" s="49" t="s">
        <v>92</v>
      </c>
      <c r="E15" s="48" t="s">
        <v>93</v>
      </c>
      <c r="F15" s="48" t="s">
        <v>7</v>
      </c>
      <c r="G15" s="48" t="s">
        <v>8</v>
      </c>
      <c r="H15" s="48" t="s">
        <v>91</v>
      </c>
      <c r="I15" s="48" t="s">
        <v>26</v>
      </c>
      <c r="M15" s="48" t="s">
        <v>3</v>
      </c>
      <c r="N15" s="48" t="s">
        <v>4</v>
      </c>
      <c r="O15" s="48" t="s">
        <v>92</v>
      </c>
      <c r="P15" s="48" t="s">
        <v>93</v>
      </c>
      <c r="Q15" s="48" t="s">
        <v>7</v>
      </c>
      <c r="R15" s="48" t="s">
        <v>8</v>
      </c>
      <c r="S15" s="48" t="s">
        <v>91</v>
      </c>
      <c r="T15" s="48" t="s">
        <v>26</v>
      </c>
    </row>
    <row r="16" spans="2:20" x14ac:dyDescent="0.2">
      <c r="B16" s="38" t="s">
        <v>30</v>
      </c>
      <c r="C16" s="38" t="s">
        <v>29</v>
      </c>
      <c r="D16" s="39">
        <f>D8</f>
        <v>2.0799999999999999E-2</v>
      </c>
      <c r="E16" s="38">
        <v>3</v>
      </c>
      <c r="F16" s="38">
        <v>30</v>
      </c>
      <c r="G16" s="38">
        <v>12</v>
      </c>
      <c r="H16" s="38">
        <f>E16*F16*G16</f>
        <v>1080</v>
      </c>
      <c r="I16" s="40">
        <f>D16*H16</f>
        <v>22.463999999999999</v>
      </c>
      <c r="M16" s="38" t="s">
        <v>30</v>
      </c>
      <c r="N16" s="38" t="s">
        <v>29</v>
      </c>
      <c r="O16" s="39">
        <f>O8</f>
        <v>2.0920476190476191E-2</v>
      </c>
      <c r="P16" s="38">
        <v>3</v>
      </c>
      <c r="Q16" s="38">
        <v>30</v>
      </c>
      <c r="R16" s="38">
        <v>12</v>
      </c>
      <c r="S16" s="38">
        <f>P16*Q16*R16</f>
        <v>1080</v>
      </c>
      <c r="T16" s="40">
        <f>O16*S16</f>
        <v>22.594114285714287</v>
      </c>
    </row>
    <row r="17" spans="2:20" x14ac:dyDescent="0.2">
      <c r="B17" s="38" t="s">
        <v>13</v>
      </c>
      <c r="C17" s="38" t="s">
        <v>0</v>
      </c>
      <c r="D17" s="39">
        <f>D10</f>
        <v>2.734E-2</v>
      </c>
      <c r="E17" s="38">
        <v>4</v>
      </c>
      <c r="F17" s="38">
        <v>30</v>
      </c>
      <c r="G17" s="38">
        <v>12</v>
      </c>
      <c r="H17" s="38">
        <f>E17*F17*G17</f>
        <v>1440</v>
      </c>
      <c r="I17" s="40">
        <f>D17*H17</f>
        <v>39.369599999999998</v>
      </c>
      <c r="M17" s="38" t="s">
        <v>13</v>
      </c>
      <c r="N17" s="38" t="s">
        <v>0</v>
      </c>
      <c r="O17" s="39">
        <f>O10</f>
        <v>2.8150000000000001E-2</v>
      </c>
      <c r="P17" s="38">
        <v>4</v>
      </c>
      <c r="Q17" s="38">
        <v>30</v>
      </c>
      <c r="R17" s="38">
        <v>12</v>
      </c>
      <c r="S17" s="38">
        <f>P17*Q17*R17</f>
        <v>1440</v>
      </c>
      <c r="T17" s="40">
        <f>O17*S17</f>
        <v>40.536000000000001</v>
      </c>
    </row>
    <row r="18" spans="2:20" x14ac:dyDescent="0.2">
      <c r="B18" s="38" t="s">
        <v>18</v>
      </c>
      <c r="C18" s="38" t="s">
        <v>0</v>
      </c>
      <c r="D18" s="39">
        <f>D11</f>
        <v>7.9299999999999995E-2</v>
      </c>
      <c r="E18" s="38">
        <v>3</v>
      </c>
      <c r="F18" s="38">
        <v>30</v>
      </c>
      <c r="G18" s="38">
        <v>12</v>
      </c>
      <c r="H18" s="38">
        <f>E18*F18*G18</f>
        <v>1080</v>
      </c>
      <c r="I18" s="40">
        <f>D18*H18</f>
        <v>85.643999999999991</v>
      </c>
      <c r="M18" s="38" t="s">
        <v>18</v>
      </c>
      <c r="N18" s="38" t="s">
        <v>0</v>
      </c>
      <c r="O18" s="39">
        <f>O11</f>
        <v>9.6879999999999994E-2</v>
      </c>
      <c r="P18" s="38">
        <v>3</v>
      </c>
      <c r="Q18" s="38">
        <v>30</v>
      </c>
      <c r="R18" s="38">
        <v>12</v>
      </c>
      <c r="S18" s="38">
        <f>P18*Q18*R18</f>
        <v>1080</v>
      </c>
      <c r="T18" s="40">
        <f>O18*S18</f>
        <v>104.63039999999999</v>
      </c>
    </row>
    <row r="19" spans="2:20" x14ac:dyDescent="0.2">
      <c r="B19" s="38" t="s">
        <v>28</v>
      </c>
      <c r="C19" s="38" t="s">
        <v>0</v>
      </c>
      <c r="D19" s="39">
        <f>D12</f>
        <v>0.25940000000000002</v>
      </c>
      <c r="E19" s="38">
        <v>2</v>
      </c>
      <c r="F19" s="38">
        <v>30</v>
      </c>
      <c r="G19" s="38">
        <v>12</v>
      </c>
      <c r="H19" s="38">
        <f>E19*F19*G19</f>
        <v>720</v>
      </c>
      <c r="I19" s="40">
        <f>D19*H19</f>
        <v>186.768</v>
      </c>
      <c r="M19" s="38" t="s">
        <v>28</v>
      </c>
      <c r="N19" s="38" t="s">
        <v>0</v>
      </c>
      <c r="O19" s="39">
        <f>O12</f>
        <v>0.25190000000000001</v>
      </c>
      <c r="P19" s="38">
        <v>2</v>
      </c>
      <c r="Q19" s="38">
        <v>30</v>
      </c>
      <c r="R19" s="38">
        <v>12</v>
      </c>
      <c r="S19" s="38">
        <f>P19*Q19*R19</f>
        <v>720</v>
      </c>
      <c r="T19" s="40">
        <f>O19*S19</f>
        <v>181.36799999999999</v>
      </c>
    </row>
    <row r="20" spans="2:20" x14ac:dyDescent="0.2">
      <c r="F20" s="43"/>
      <c r="G20" s="44"/>
      <c r="H20" s="45" t="s">
        <v>48</v>
      </c>
      <c r="I20" s="46">
        <f>SUM(I16:I19)</f>
        <v>334.24559999999997</v>
      </c>
      <c r="Q20" s="43"/>
      <c r="R20" s="44"/>
      <c r="S20" s="45" t="s">
        <v>48</v>
      </c>
      <c r="T20" s="46">
        <f>SUM(T16:T19)</f>
        <v>349.12851428571429</v>
      </c>
    </row>
    <row r="21" spans="2:20" ht="13.5" thickBot="1" x14ac:dyDescent="0.25"/>
    <row r="22" spans="2:20" ht="13.5" thickBot="1" x14ac:dyDescent="0.25">
      <c r="H22" s="50" t="s">
        <v>27</v>
      </c>
      <c r="I22" s="51">
        <f>I13+I20</f>
        <v>777.87599999999998</v>
      </c>
      <c r="S22" s="50" t="s">
        <v>27</v>
      </c>
      <c r="T22" s="51">
        <f>T13+T20</f>
        <v>741.96085714285709</v>
      </c>
    </row>
    <row r="25" spans="2:20" x14ac:dyDescent="0.2">
      <c r="L25"/>
      <c r="M25"/>
      <c r="N25"/>
      <c r="O25"/>
      <c r="P25"/>
    </row>
    <row r="26" spans="2:20" x14ac:dyDescent="0.2">
      <c r="L26"/>
      <c r="M26"/>
      <c r="N26"/>
      <c r="O26"/>
      <c r="P26"/>
    </row>
    <row r="27" spans="2:20" x14ac:dyDescent="0.2">
      <c r="L27"/>
      <c r="M27" s="1"/>
      <c r="N27" s="1"/>
      <c r="O27"/>
      <c r="P27"/>
    </row>
    <row r="28" spans="2:20" x14ac:dyDescent="0.2">
      <c r="L28"/>
      <c r="M28" s="1"/>
      <c r="N28" s="1"/>
      <c r="O28"/>
      <c r="P28"/>
    </row>
    <row r="29" spans="2:20" x14ac:dyDescent="0.2">
      <c r="L29"/>
      <c r="M29"/>
      <c r="N29"/>
      <c r="O29"/>
      <c r="P29"/>
    </row>
    <row r="30" spans="2:20" x14ac:dyDescent="0.2">
      <c r="L30"/>
      <c r="M30"/>
      <c r="N30"/>
      <c r="O30"/>
      <c r="P30"/>
    </row>
    <row r="31" spans="2:20" x14ac:dyDescent="0.2">
      <c r="L31"/>
      <c r="M31"/>
      <c r="N31"/>
      <c r="O31"/>
      <c r="P31"/>
    </row>
    <row r="32" spans="2:20" x14ac:dyDescent="0.2">
      <c r="L32"/>
      <c r="M32"/>
      <c r="N32"/>
      <c r="O32"/>
      <c r="P32"/>
    </row>
    <row r="33" spans="12:16" x14ac:dyDescent="0.2">
      <c r="L33"/>
      <c r="M33"/>
      <c r="N33"/>
      <c r="O33"/>
      <c r="P33"/>
    </row>
    <row r="34" spans="12:16" x14ac:dyDescent="0.2">
      <c r="L34"/>
      <c r="M34" s="1"/>
      <c r="N34" s="1"/>
      <c r="O34"/>
      <c r="P34"/>
    </row>
    <row r="35" spans="12:16" x14ac:dyDescent="0.2">
      <c r="L35"/>
      <c r="M35" s="1"/>
      <c r="N35" s="1"/>
      <c r="O35"/>
      <c r="P35"/>
    </row>
    <row r="36" spans="12:16" x14ac:dyDescent="0.2">
      <c r="L36"/>
      <c r="M36"/>
      <c r="N36"/>
      <c r="O36"/>
      <c r="P36"/>
    </row>
    <row r="37" spans="12:16" x14ac:dyDescent="0.2">
      <c r="L37"/>
      <c r="M37"/>
      <c r="N37"/>
      <c r="O37"/>
      <c r="P37"/>
    </row>
    <row r="38" spans="12:16" x14ac:dyDescent="0.2">
      <c r="L38"/>
      <c r="M38"/>
      <c r="N38"/>
      <c r="O38"/>
      <c r="P38"/>
    </row>
    <row r="39" spans="12:16" x14ac:dyDescent="0.2">
      <c r="L39"/>
      <c r="M39"/>
      <c r="N39"/>
      <c r="O39"/>
      <c r="P39"/>
    </row>
  </sheetData>
  <mergeCells count="6">
    <mergeCell ref="B2:I2"/>
    <mergeCell ref="M2:T2"/>
    <mergeCell ref="B3:I3"/>
    <mergeCell ref="M3:T3"/>
    <mergeCell ref="B4:I4"/>
    <mergeCell ref="M4:T4"/>
  </mergeCells>
  <pageMargins left="0.75" right="0.75" top="1" bottom="1" header="0.5" footer="0.5"/>
  <pageSetup paperSize="9" orientation="portrait" r:id="rId1"/>
  <headerFooter alignWithMargins="0"/>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4A597-4E10-40EC-905D-DFA0753EB48E}">
  <sheetPr>
    <tabColor rgb="FFFF0000"/>
  </sheetPr>
  <dimension ref="B2:Z37"/>
  <sheetViews>
    <sheetView showGridLines="0" zoomScaleNormal="100" workbookViewId="0">
      <selection activeCell="L30" sqref="L30:P37"/>
    </sheetView>
  </sheetViews>
  <sheetFormatPr defaultRowHeight="12.75" x14ac:dyDescent="0.2"/>
  <cols>
    <col min="1" max="1" width="9.140625" style="34"/>
    <col min="2" max="2" width="16.28515625" style="34" bestFit="1" customWidth="1"/>
    <col min="3" max="3" width="9" style="34" customWidth="1"/>
    <col min="4" max="4" width="9.5703125" style="35" customWidth="1"/>
    <col min="5" max="5" width="9.42578125" style="34" customWidth="1"/>
    <col min="6" max="6" width="11.5703125" style="34" customWidth="1"/>
    <col min="7" max="7" width="10" style="34" customWidth="1"/>
    <col min="8" max="8" width="13.140625" style="34" customWidth="1"/>
    <col min="9" max="9" width="12.28515625" style="34" customWidth="1"/>
    <col min="10" max="10" width="9.140625" style="31"/>
    <col min="11" max="11" width="9.140625" style="32"/>
    <col min="12" max="12" width="9.140625" style="31"/>
    <col min="13" max="13" width="16.28515625" style="34" bestFit="1" customWidth="1"/>
    <col min="14" max="14" width="9" style="34" customWidth="1"/>
    <col min="15" max="15" width="9.5703125" style="34" customWidth="1"/>
    <col min="16" max="16" width="10.140625" style="34" customWidth="1"/>
    <col min="17" max="17" width="8.85546875" style="34" bestFit="1" customWidth="1"/>
    <col min="18" max="18" width="7.5703125" style="34" customWidth="1"/>
    <col min="19" max="19" width="14.5703125" style="34" customWidth="1"/>
    <col min="20" max="20" width="12.28515625" style="34" customWidth="1"/>
    <col min="21" max="26" width="9.140625" style="31"/>
    <col min="27" max="16384" width="9.140625" style="34"/>
  </cols>
  <sheetData>
    <row r="2" spans="2:20" ht="15.75" x14ac:dyDescent="0.25">
      <c r="B2" s="123">
        <v>2018</v>
      </c>
      <c r="C2" s="123"/>
      <c r="D2" s="123"/>
      <c r="E2" s="123"/>
      <c r="F2" s="123"/>
      <c r="G2" s="123"/>
      <c r="H2" s="123"/>
      <c r="I2" s="123"/>
      <c r="M2" s="123">
        <v>2019</v>
      </c>
      <c r="N2" s="123"/>
      <c r="O2" s="123"/>
      <c r="P2" s="123"/>
      <c r="Q2" s="123"/>
      <c r="R2" s="123"/>
      <c r="S2" s="123"/>
      <c r="T2" s="123"/>
    </row>
    <row r="3" spans="2:20" ht="15.75" customHeight="1" x14ac:dyDescent="0.25">
      <c r="B3" s="123" t="s">
        <v>104</v>
      </c>
      <c r="C3" s="123"/>
      <c r="D3" s="123"/>
      <c r="E3" s="123"/>
      <c r="F3" s="123"/>
      <c r="G3" s="123"/>
      <c r="H3" s="123"/>
      <c r="I3" s="123"/>
      <c r="M3" s="123" t="s">
        <v>104</v>
      </c>
      <c r="N3" s="123"/>
      <c r="O3" s="123"/>
      <c r="P3" s="123"/>
      <c r="Q3" s="123"/>
      <c r="R3" s="123"/>
      <c r="S3" s="123"/>
      <c r="T3" s="123"/>
    </row>
    <row r="4" spans="2:20" ht="15.75" x14ac:dyDescent="0.25">
      <c r="B4" s="123" t="s">
        <v>63</v>
      </c>
      <c r="C4" s="123"/>
      <c r="D4" s="123"/>
      <c r="E4" s="123"/>
      <c r="F4" s="123"/>
      <c r="G4" s="123"/>
      <c r="H4" s="123"/>
      <c r="I4" s="123"/>
      <c r="M4" s="123" t="s">
        <v>63</v>
      </c>
      <c r="N4" s="123"/>
      <c r="O4" s="123"/>
      <c r="P4" s="123"/>
      <c r="Q4" s="123"/>
      <c r="R4" s="123"/>
      <c r="S4" s="123"/>
      <c r="T4" s="123"/>
    </row>
    <row r="5" spans="2:20" ht="15.75" x14ac:dyDescent="0.25">
      <c r="B5" s="68" t="s">
        <v>133</v>
      </c>
      <c r="M5" s="68" t="s">
        <v>133</v>
      </c>
    </row>
    <row r="6" spans="2:20" x14ac:dyDescent="0.2">
      <c r="B6" s="33" t="s">
        <v>2</v>
      </c>
      <c r="M6" s="33" t="s">
        <v>2</v>
      </c>
    </row>
    <row r="7" spans="2:20" ht="51" x14ac:dyDescent="0.2">
      <c r="B7" s="36" t="s">
        <v>3</v>
      </c>
      <c r="C7" s="36" t="s">
        <v>4</v>
      </c>
      <c r="D7" s="37" t="s">
        <v>92</v>
      </c>
      <c r="E7" s="36" t="s">
        <v>93</v>
      </c>
      <c r="F7" s="36" t="s">
        <v>7</v>
      </c>
      <c r="G7" s="36" t="s">
        <v>8</v>
      </c>
      <c r="H7" s="36" t="s">
        <v>91</v>
      </c>
      <c r="I7" s="36" t="s">
        <v>10</v>
      </c>
      <c r="M7" s="36" t="s">
        <v>3</v>
      </c>
      <c r="N7" s="36" t="s">
        <v>4</v>
      </c>
      <c r="O7" s="36" t="s">
        <v>92</v>
      </c>
      <c r="P7" s="36" t="s">
        <v>93</v>
      </c>
      <c r="Q7" s="36" t="s">
        <v>7</v>
      </c>
      <c r="R7" s="36" t="s">
        <v>8</v>
      </c>
      <c r="S7" s="36" t="s">
        <v>91</v>
      </c>
      <c r="T7" s="36" t="s">
        <v>10</v>
      </c>
    </row>
    <row r="8" spans="2:20" x14ac:dyDescent="0.2">
      <c r="B8" s="38" t="s">
        <v>30</v>
      </c>
      <c r="C8" s="38" t="s">
        <v>29</v>
      </c>
      <c r="D8" s="65">
        <v>2.0799999999999999E-2</v>
      </c>
      <c r="E8" s="38">
        <v>3</v>
      </c>
      <c r="F8" s="38">
        <v>30</v>
      </c>
      <c r="G8" s="38">
        <v>8</v>
      </c>
      <c r="H8" s="38">
        <f>E8*F8*G8</f>
        <v>720</v>
      </c>
      <c r="I8" s="40">
        <f>D8*H8</f>
        <v>14.975999999999999</v>
      </c>
      <c r="M8" s="38" t="s">
        <v>30</v>
      </c>
      <c r="N8" s="38" t="s">
        <v>29</v>
      </c>
      <c r="O8" s="67">
        <v>2.0799999999999999E-2</v>
      </c>
      <c r="P8" s="38">
        <v>3</v>
      </c>
      <c r="Q8" s="38">
        <v>30</v>
      </c>
      <c r="R8" s="38">
        <v>8</v>
      </c>
      <c r="S8" s="38">
        <f>P8*Q8*R8</f>
        <v>720</v>
      </c>
      <c r="T8" s="40">
        <f>O8*S8</f>
        <v>14.975999999999999</v>
      </c>
    </row>
    <row r="9" spans="2:20" x14ac:dyDescent="0.2">
      <c r="B9" s="38" t="s">
        <v>25</v>
      </c>
      <c r="C9" s="38" t="s">
        <v>11</v>
      </c>
      <c r="D9" s="66">
        <v>0.92</v>
      </c>
      <c r="E9" s="38">
        <v>1</v>
      </c>
      <c r="F9" s="38">
        <v>30</v>
      </c>
      <c r="G9" s="38">
        <v>8</v>
      </c>
      <c r="H9" s="38">
        <f>E9*F9*G9</f>
        <v>240</v>
      </c>
      <c r="I9" s="40">
        <f>D9*H9</f>
        <v>220.8</v>
      </c>
      <c r="M9" s="38" t="s">
        <v>25</v>
      </c>
      <c r="N9" s="38" t="s">
        <v>11</v>
      </c>
      <c r="O9" s="67">
        <v>0.66700000000000004</v>
      </c>
      <c r="P9" s="38">
        <v>1</v>
      </c>
      <c r="Q9" s="38">
        <v>30</v>
      </c>
      <c r="R9" s="38">
        <v>8</v>
      </c>
      <c r="S9" s="38">
        <f>P9*Q9*R9</f>
        <v>240</v>
      </c>
      <c r="T9" s="40">
        <f>O9*S9</f>
        <v>160.08000000000001</v>
      </c>
    </row>
    <row r="10" spans="2:20" x14ac:dyDescent="0.2">
      <c r="B10" s="38" t="s">
        <v>13</v>
      </c>
      <c r="C10" s="38" t="s">
        <v>0</v>
      </c>
      <c r="D10" s="66">
        <v>2.7099999999999999E-2</v>
      </c>
      <c r="E10" s="38">
        <v>4</v>
      </c>
      <c r="F10" s="38">
        <v>30</v>
      </c>
      <c r="G10" s="38">
        <v>8</v>
      </c>
      <c r="H10" s="38">
        <f>E10*F10*G10</f>
        <v>960</v>
      </c>
      <c r="I10" s="40">
        <f>D10*H10</f>
        <v>26.015999999999998</v>
      </c>
      <c r="M10" s="38" t="s">
        <v>13</v>
      </c>
      <c r="N10" s="38" t="s">
        <v>0</v>
      </c>
      <c r="O10" s="66">
        <v>2.6499999999999999E-2</v>
      </c>
      <c r="P10" s="38">
        <v>4</v>
      </c>
      <c r="Q10" s="38">
        <v>30</v>
      </c>
      <c r="R10" s="38">
        <v>8</v>
      </c>
      <c r="S10" s="38">
        <f>P10*Q10*R10</f>
        <v>960</v>
      </c>
      <c r="T10" s="40">
        <f>O10*S10</f>
        <v>25.439999999999998</v>
      </c>
    </row>
    <row r="11" spans="2:20" x14ac:dyDescent="0.2">
      <c r="B11" s="38" t="s">
        <v>18</v>
      </c>
      <c r="C11" s="38" t="s">
        <v>0</v>
      </c>
      <c r="D11" s="65">
        <v>7.9299999999999995E-2</v>
      </c>
      <c r="E11" s="38">
        <v>3</v>
      </c>
      <c r="F11" s="38">
        <v>30</v>
      </c>
      <c r="G11" s="38">
        <v>8</v>
      </c>
      <c r="H11" s="38">
        <f>E11*F11*G11</f>
        <v>720</v>
      </c>
      <c r="I11" s="40">
        <f>D11*H11</f>
        <v>57.095999999999997</v>
      </c>
      <c r="M11" s="38" t="s">
        <v>18</v>
      </c>
      <c r="N11" s="38" t="s">
        <v>0</v>
      </c>
      <c r="O11" s="65">
        <v>8.9200000000000002E-2</v>
      </c>
      <c r="P11" s="38">
        <v>3</v>
      </c>
      <c r="Q11" s="38">
        <v>30</v>
      </c>
      <c r="R11" s="38">
        <v>8</v>
      </c>
      <c r="S11" s="38">
        <f>P11*Q11*R11</f>
        <v>720</v>
      </c>
      <c r="T11" s="40">
        <f>O11*S11</f>
        <v>64.224000000000004</v>
      </c>
    </row>
    <row r="12" spans="2:20" x14ac:dyDescent="0.2">
      <c r="B12" s="38" t="s">
        <v>28</v>
      </c>
      <c r="C12" s="38" t="s">
        <v>0</v>
      </c>
      <c r="D12" s="66">
        <v>0.22500000000000001</v>
      </c>
      <c r="E12" s="38">
        <v>2</v>
      </c>
      <c r="F12" s="42">
        <v>30</v>
      </c>
      <c r="G12" s="42">
        <v>8</v>
      </c>
      <c r="H12" s="42">
        <f>E12*F12*G12</f>
        <v>480</v>
      </c>
      <c r="I12" s="40">
        <f>D12*H12</f>
        <v>108</v>
      </c>
      <c r="M12" s="38" t="s">
        <v>28</v>
      </c>
      <c r="N12" s="38" t="s">
        <v>0</v>
      </c>
      <c r="O12" s="66">
        <v>0.24</v>
      </c>
      <c r="P12" s="38">
        <v>2</v>
      </c>
      <c r="Q12" s="42">
        <v>30</v>
      </c>
      <c r="R12" s="42">
        <v>8</v>
      </c>
      <c r="S12" s="42">
        <f>P12*Q12*R12</f>
        <v>480</v>
      </c>
      <c r="T12" s="40">
        <f>O12*S12</f>
        <v>115.19999999999999</v>
      </c>
    </row>
    <row r="13" spans="2:20" x14ac:dyDescent="0.2">
      <c r="F13" s="43"/>
      <c r="G13" s="44"/>
      <c r="H13" s="45" t="s">
        <v>14</v>
      </c>
      <c r="I13" s="46">
        <f>SUM(I8:I12)</f>
        <v>426.88800000000003</v>
      </c>
      <c r="Q13" s="43"/>
      <c r="R13" s="44"/>
      <c r="S13" s="45" t="s">
        <v>14</v>
      </c>
      <c r="T13" s="46">
        <f>SUM(T8:T12)</f>
        <v>379.92</v>
      </c>
    </row>
    <row r="14" spans="2:20" x14ac:dyDescent="0.2">
      <c r="B14" s="47" t="s">
        <v>15</v>
      </c>
      <c r="M14" s="47" t="s">
        <v>15</v>
      </c>
    </row>
    <row r="15" spans="2:20" ht="51" x14ac:dyDescent="0.2">
      <c r="B15" s="48" t="s">
        <v>3</v>
      </c>
      <c r="C15" s="48" t="s">
        <v>4</v>
      </c>
      <c r="D15" s="49" t="s">
        <v>92</v>
      </c>
      <c r="E15" s="48" t="s">
        <v>93</v>
      </c>
      <c r="F15" s="48" t="s">
        <v>7</v>
      </c>
      <c r="G15" s="48" t="s">
        <v>8</v>
      </c>
      <c r="H15" s="48" t="s">
        <v>91</v>
      </c>
      <c r="I15" s="48" t="s">
        <v>26</v>
      </c>
      <c r="M15" s="48" t="s">
        <v>3</v>
      </c>
      <c r="N15" s="48" t="s">
        <v>4</v>
      </c>
      <c r="O15" s="48" t="s">
        <v>92</v>
      </c>
      <c r="P15" s="48" t="s">
        <v>93</v>
      </c>
      <c r="Q15" s="48" t="s">
        <v>7</v>
      </c>
      <c r="R15" s="48" t="s">
        <v>8</v>
      </c>
      <c r="S15" s="48" t="s">
        <v>91</v>
      </c>
      <c r="T15" s="48" t="s">
        <v>26</v>
      </c>
    </row>
    <row r="16" spans="2:20" x14ac:dyDescent="0.2">
      <c r="B16" s="38" t="s">
        <v>30</v>
      </c>
      <c r="C16" s="38" t="s">
        <v>29</v>
      </c>
      <c r="D16" s="39">
        <f>D8</f>
        <v>2.0799999999999999E-2</v>
      </c>
      <c r="E16" s="38">
        <v>3</v>
      </c>
      <c r="F16" s="38">
        <v>30</v>
      </c>
      <c r="G16" s="38">
        <v>12</v>
      </c>
      <c r="H16" s="38">
        <f>E16*F16*G16</f>
        <v>1080</v>
      </c>
      <c r="I16" s="40">
        <f>D16*H16</f>
        <v>22.463999999999999</v>
      </c>
      <c r="M16" s="38" t="s">
        <v>30</v>
      </c>
      <c r="N16" s="38" t="s">
        <v>29</v>
      </c>
      <c r="O16" s="39">
        <f>O8</f>
        <v>2.0799999999999999E-2</v>
      </c>
      <c r="P16" s="38">
        <v>3</v>
      </c>
      <c r="Q16" s="38">
        <v>30</v>
      </c>
      <c r="R16" s="38">
        <v>12</v>
      </c>
      <c r="S16" s="38">
        <f>P16*Q16*R16</f>
        <v>1080</v>
      </c>
      <c r="T16" s="40">
        <f>O16*S16</f>
        <v>22.463999999999999</v>
      </c>
    </row>
    <row r="17" spans="2:20" x14ac:dyDescent="0.2">
      <c r="B17" s="38" t="s">
        <v>13</v>
      </c>
      <c r="C17" s="38" t="s">
        <v>0</v>
      </c>
      <c r="D17" s="39">
        <f>D10</f>
        <v>2.7099999999999999E-2</v>
      </c>
      <c r="E17" s="38">
        <v>4</v>
      </c>
      <c r="F17" s="38">
        <v>30</v>
      </c>
      <c r="G17" s="38">
        <v>12</v>
      </c>
      <c r="H17" s="38">
        <f>E17*F17*G17</f>
        <v>1440</v>
      </c>
      <c r="I17" s="40">
        <f>D17*H17</f>
        <v>39.024000000000001</v>
      </c>
      <c r="M17" s="38" t="s">
        <v>13</v>
      </c>
      <c r="N17" s="38" t="s">
        <v>0</v>
      </c>
      <c r="O17" s="39">
        <f>O10</f>
        <v>2.6499999999999999E-2</v>
      </c>
      <c r="P17" s="38">
        <v>4</v>
      </c>
      <c r="Q17" s="38">
        <v>30</v>
      </c>
      <c r="R17" s="38">
        <v>12</v>
      </c>
      <c r="S17" s="38">
        <f>P17*Q17*R17</f>
        <v>1440</v>
      </c>
      <c r="T17" s="40">
        <f>O17*S17</f>
        <v>38.159999999999997</v>
      </c>
    </row>
    <row r="18" spans="2:20" x14ac:dyDescent="0.2">
      <c r="B18" s="38" t="s">
        <v>18</v>
      </c>
      <c r="C18" s="38" t="s">
        <v>0</v>
      </c>
      <c r="D18" s="39">
        <f>D11</f>
        <v>7.9299999999999995E-2</v>
      </c>
      <c r="E18" s="38">
        <v>3</v>
      </c>
      <c r="F18" s="38">
        <v>30</v>
      </c>
      <c r="G18" s="38">
        <v>12</v>
      </c>
      <c r="H18" s="38">
        <f>E18*F18*G18</f>
        <v>1080</v>
      </c>
      <c r="I18" s="40">
        <f>D18*H18</f>
        <v>85.643999999999991</v>
      </c>
      <c r="M18" s="38" t="s">
        <v>18</v>
      </c>
      <c r="N18" s="38" t="s">
        <v>0</v>
      </c>
      <c r="O18" s="39">
        <f>O11</f>
        <v>8.9200000000000002E-2</v>
      </c>
      <c r="P18" s="38">
        <v>3</v>
      </c>
      <c r="Q18" s="38">
        <v>30</v>
      </c>
      <c r="R18" s="38">
        <v>12</v>
      </c>
      <c r="S18" s="38">
        <f>P18*Q18*R18</f>
        <v>1080</v>
      </c>
      <c r="T18" s="40">
        <f>O18*S18</f>
        <v>96.335999999999999</v>
      </c>
    </row>
    <row r="19" spans="2:20" x14ac:dyDescent="0.2">
      <c r="B19" s="38" t="s">
        <v>28</v>
      </c>
      <c r="C19" s="38" t="s">
        <v>0</v>
      </c>
      <c r="D19" s="39">
        <f>D12</f>
        <v>0.22500000000000001</v>
      </c>
      <c r="E19" s="38">
        <v>2</v>
      </c>
      <c r="F19" s="38">
        <v>30</v>
      </c>
      <c r="G19" s="38">
        <v>12</v>
      </c>
      <c r="H19" s="38">
        <f>E19*F19*G19</f>
        <v>720</v>
      </c>
      <c r="I19" s="40">
        <f>D19*H19</f>
        <v>162</v>
      </c>
      <c r="M19" s="38" t="s">
        <v>28</v>
      </c>
      <c r="N19" s="38" t="s">
        <v>0</v>
      </c>
      <c r="O19" s="39">
        <f>O12</f>
        <v>0.24</v>
      </c>
      <c r="P19" s="38">
        <v>2</v>
      </c>
      <c r="Q19" s="38">
        <v>30</v>
      </c>
      <c r="R19" s="38">
        <v>12</v>
      </c>
      <c r="S19" s="38">
        <f>P19*Q19*R19</f>
        <v>720</v>
      </c>
      <c r="T19" s="40">
        <f>O19*S19</f>
        <v>172.79999999999998</v>
      </c>
    </row>
    <row r="20" spans="2:20" x14ac:dyDescent="0.2">
      <c r="F20" s="43"/>
      <c r="G20" s="44"/>
      <c r="H20" s="45" t="s">
        <v>48</v>
      </c>
      <c r="I20" s="46">
        <f>SUM(I16:I19)</f>
        <v>309.13200000000001</v>
      </c>
      <c r="Q20" s="43"/>
      <c r="R20" s="44"/>
      <c r="S20" s="45" t="s">
        <v>48</v>
      </c>
      <c r="T20" s="46">
        <f>SUM(T16:T19)</f>
        <v>329.76</v>
      </c>
    </row>
    <row r="21" spans="2:20" ht="13.5" thickBot="1" x14ac:dyDescent="0.25"/>
    <row r="22" spans="2:20" ht="13.5" thickBot="1" x14ac:dyDescent="0.25">
      <c r="H22" s="50" t="s">
        <v>27</v>
      </c>
      <c r="I22" s="51">
        <f>I13+I20</f>
        <v>736.02</v>
      </c>
      <c r="S22" s="50" t="s">
        <v>27</v>
      </c>
      <c r="T22" s="51">
        <f>T13+T20</f>
        <v>709.68000000000006</v>
      </c>
    </row>
    <row r="25" spans="2:20" x14ac:dyDescent="0.2">
      <c r="L25"/>
      <c r="M25"/>
      <c r="N25"/>
      <c r="O25"/>
      <c r="P25"/>
    </row>
    <row r="26" spans="2:20" x14ac:dyDescent="0.2">
      <c r="L26"/>
      <c r="M26"/>
      <c r="N26"/>
      <c r="O26"/>
      <c r="P26"/>
    </row>
    <row r="27" spans="2:20" x14ac:dyDescent="0.2">
      <c r="L27"/>
      <c r="M27" s="1"/>
      <c r="N27" s="1"/>
      <c r="O27"/>
      <c r="P27"/>
    </row>
    <row r="28" spans="2:20" x14ac:dyDescent="0.2">
      <c r="L28"/>
      <c r="M28" s="1"/>
      <c r="N28" s="1"/>
      <c r="O28"/>
      <c r="P28"/>
    </row>
    <row r="29" spans="2:20" x14ac:dyDescent="0.2">
      <c r="L29"/>
      <c r="M29"/>
      <c r="N29"/>
      <c r="O29"/>
      <c r="P29"/>
    </row>
    <row r="30" spans="2:20" x14ac:dyDescent="0.2">
      <c r="L30"/>
      <c r="M30"/>
      <c r="N30"/>
      <c r="O30"/>
      <c r="P30"/>
    </row>
    <row r="31" spans="2:20" x14ac:dyDescent="0.2">
      <c r="L31"/>
      <c r="M31"/>
      <c r="N31"/>
      <c r="O31"/>
      <c r="P31"/>
    </row>
    <row r="32" spans="2:20" x14ac:dyDescent="0.2">
      <c r="L32"/>
      <c r="M32" s="1"/>
      <c r="N32" s="1"/>
      <c r="O32"/>
      <c r="P32"/>
    </row>
    <row r="33" spans="12:16" x14ac:dyDescent="0.2">
      <c r="L33"/>
      <c r="M33" s="1"/>
      <c r="N33" s="1"/>
      <c r="O33"/>
      <c r="P33"/>
    </row>
    <row r="34" spans="12:16" x14ac:dyDescent="0.2">
      <c r="L34"/>
      <c r="M34"/>
      <c r="N34"/>
      <c r="O34"/>
      <c r="P34"/>
    </row>
    <row r="35" spans="12:16" x14ac:dyDescent="0.2">
      <c r="L35"/>
      <c r="M35"/>
      <c r="N35"/>
      <c r="O35"/>
      <c r="P35"/>
    </row>
    <row r="36" spans="12:16" x14ac:dyDescent="0.2">
      <c r="L36"/>
      <c r="M36"/>
      <c r="N36"/>
      <c r="O36"/>
      <c r="P36"/>
    </row>
    <row r="37" spans="12:16" x14ac:dyDescent="0.2">
      <c r="L37"/>
      <c r="M37"/>
      <c r="N37"/>
      <c r="O37"/>
      <c r="P37"/>
    </row>
  </sheetData>
  <mergeCells count="6">
    <mergeCell ref="B2:I2"/>
    <mergeCell ref="M2:T2"/>
    <mergeCell ref="B3:I3"/>
    <mergeCell ref="M3:T3"/>
    <mergeCell ref="B4:I4"/>
    <mergeCell ref="M4:T4"/>
  </mergeCells>
  <pageMargins left="0.75" right="0.75" top="1" bottom="1" header="0.5" footer="0.5"/>
  <pageSetup paperSize="9" orientation="portrait" r:id="rId1"/>
  <headerFooter alignWithMargins="0"/>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85907-B9A4-4E43-B72B-873C2694F105}">
  <sheetPr>
    <tabColor rgb="FFFF0000"/>
  </sheetPr>
  <dimension ref="B2:Z33"/>
  <sheetViews>
    <sheetView showGridLines="0" zoomScaleNormal="100" workbookViewId="0">
      <selection activeCell="L26" sqref="L26:P33"/>
    </sheetView>
  </sheetViews>
  <sheetFormatPr defaultRowHeight="12.75" x14ac:dyDescent="0.2"/>
  <cols>
    <col min="1" max="1" width="9.140625" style="34"/>
    <col min="2" max="2" width="16.28515625" style="34" bestFit="1" customWidth="1"/>
    <col min="3" max="3" width="9" style="34" customWidth="1"/>
    <col min="4" max="4" width="9.5703125" style="35" customWidth="1"/>
    <col min="5" max="5" width="9.42578125" style="34" customWidth="1"/>
    <col min="6" max="6" width="11.5703125" style="34" customWidth="1"/>
    <col min="7" max="7" width="10" style="34" customWidth="1"/>
    <col min="8" max="8" width="13.140625" style="34" customWidth="1"/>
    <col min="9" max="9" width="12.28515625" style="34" customWidth="1"/>
    <col min="10" max="10" width="9.140625" style="31"/>
    <col min="11" max="11" width="9.140625" style="32"/>
    <col min="12" max="12" width="9.140625" style="31"/>
    <col min="13" max="13" width="16.28515625" style="34" bestFit="1" customWidth="1"/>
    <col min="14" max="14" width="9" style="34" customWidth="1"/>
    <col min="15" max="15" width="9.5703125" style="34" customWidth="1"/>
    <col min="16" max="16" width="10.140625" style="34" customWidth="1"/>
    <col min="17" max="17" width="8.85546875" style="34" bestFit="1" customWidth="1"/>
    <col min="18" max="18" width="7.5703125" style="34" customWidth="1"/>
    <col min="19" max="19" width="14.5703125" style="34" customWidth="1"/>
    <col min="20" max="20" width="12.28515625" style="34" customWidth="1"/>
    <col min="21" max="26" width="9.140625" style="31"/>
    <col min="27" max="16384" width="9.140625" style="34"/>
  </cols>
  <sheetData>
    <row r="2" spans="2:20" ht="15.75" x14ac:dyDescent="0.25">
      <c r="B2" s="123">
        <v>2018</v>
      </c>
      <c r="C2" s="123"/>
      <c r="D2" s="123"/>
      <c r="E2" s="123"/>
      <c r="F2" s="123"/>
      <c r="G2" s="123"/>
      <c r="H2" s="123"/>
      <c r="I2" s="123"/>
      <c r="M2" s="123">
        <v>2019</v>
      </c>
      <c r="N2" s="123"/>
      <c r="O2" s="123"/>
      <c r="P2" s="123"/>
      <c r="Q2" s="123"/>
      <c r="R2" s="123"/>
      <c r="S2" s="123"/>
      <c r="T2" s="123"/>
    </row>
    <row r="3" spans="2:20" ht="15.75" customHeight="1" x14ac:dyDescent="0.25">
      <c r="B3" s="123" t="s">
        <v>105</v>
      </c>
      <c r="C3" s="123"/>
      <c r="D3" s="123"/>
      <c r="E3" s="123"/>
      <c r="F3" s="123"/>
      <c r="G3" s="123"/>
      <c r="H3" s="123"/>
      <c r="I3" s="123"/>
      <c r="M3" s="123" t="s">
        <v>106</v>
      </c>
      <c r="N3" s="123"/>
      <c r="O3" s="123"/>
      <c r="P3" s="123"/>
      <c r="Q3" s="123"/>
      <c r="R3" s="123"/>
      <c r="S3" s="123"/>
      <c r="T3" s="123"/>
    </row>
    <row r="4" spans="2:20" ht="15.75" x14ac:dyDescent="0.25">
      <c r="B4" s="123" t="s">
        <v>63</v>
      </c>
      <c r="C4" s="123"/>
      <c r="D4" s="123"/>
      <c r="E4" s="123"/>
      <c r="F4" s="123"/>
      <c r="G4" s="123"/>
      <c r="H4" s="123"/>
      <c r="I4" s="123"/>
      <c r="M4" s="123" t="s">
        <v>63</v>
      </c>
      <c r="N4" s="123"/>
      <c r="O4" s="123"/>
      <c r="P4" s="123"/>
      <c r="Q4" s="123"/>
      <c r="R4" s="123"/>
      <c r="S4" s="123"/>
      <c r="T4" s="123"/>
    </row>
    <row r="6" spans="2:20" x14ac:dyDescent="0.2">
      <c r="B6" s="33" t="s">
        <v>2</v>
      </c>
      <c r="M6" s="33" t="s">
        <v>2</v>
      </c>
    </row>
    <row r="7" spans="2:20" ht="51" x14ac:dyDescent="0.2">
      <c r="B7" s="36" t="s">
        <v>3</v>
      </c>
      <c r="C7" s="36" t="s">
        <v>4</v>
      </c>
      <c r="D7" s="37" t="s">
        <v>92</v>
      </c>
      <c r="E7" s="36" t="s">
        <v>93</v>
      </c>
      <c r="F7" s="36" t="s">
        <v>7</v>
      </c>
      <c r="G7" s="36" t="s">
        <v>8</v>
      </c>
      <c r="H7" s="36" t="s">
        <v>91</v>
      </c>
      <c r="I7" s="36" t="s">
        <v>10</v>
      </c>
      <c r="M7" s="36" t="s">
        <v>3</v>
      </c>
      <c r="N7" s="36" t="s">
        <v>4</v>
      </c>
      <c r="O7" s="36" t="s">
        <v>92</v>
      </c>
      <c r="P7" s="36" t="s">
        <v>93</v>
      </c>
      <c r="Q7" s="36" t="s">
        <v>7</v>
      </c>
      <c r="R7" s="36" t="s">
        <v>8</v>
      </c>
      <c r="S7" s="36" t="s">
        <v>91</v>
      </c>
      <c r="T7" s="36" t="s">
        <v>10</v>
      </c>
    </row>
    <row r="8" spans="2:20" x14ac:dyDescent="0.2">
      <c r="B8" s="38" t="s">
        <v>30</v>
      </c>
      <c r="C8" s="38" t="s">
        <v>29</v>
      </c>
      <c r="D8" s="39">
        <v>2.0799999999999999E-2</v>
      </c>
      <c r="E8" s="38">
        <v>3</v>
      </c>
      <c r="F8" s="38">
        <v>30</v>
      </c>
      <c r="G8" s="38">
        <v>8</v>
      </c>
      <c r="H8" s="38">
        <f>E8*F8*G8</f>
        <v>720</v>
      </c>
      <c r="I8" s="40">
        <f>D8*H8</f>
        <v>14.975999999999999</v>
      </c>
      <c r="M8" s="38" t="s">
        <v>30</v>
      </c>
      <c r="N8" s="38" t="s">
        <v>29</v>
      </c>
      <c r="O8" s="41">
        <v>2.0920476190476191E-2</v>
      </c>
      <c r="P8" s="38">
        <v>3</v>
      </c>
      <c r="Q8" s="38">
        <v>30</v>
      </c>
      <c r="R8" s="38">
        <v>8</v>
      </c>
      <c r="S8" s="38">
        <f>P8*Q8*R8</f>
        <v>720</v>
      </c>
      <c r="T8" s="40">
        <f>O8*S8</f>
        <v>15.062742857142858</v>
      </c>
    </row>
    <row r="9" spans="2:20" x14ac:dyDescent="0.2">
      <c r="B9" s="38" t="s">
        <v>25</v>
      </c>
      <c r="C9" s="38" t="s">
        <v>11</v>
      </c>
      <c r="D9" s="39">
        <v>0.92</v>
      </c>
      <c r="E9" s="38">
        <v>1</v>
      </c>
      <c r="F9" s="38">
        <v>30</v>
      </c>
      <c r="G9" s="38">
        <v>8</v>
      </c>
      <c r="H9" s="38">
        <f>E9*F9*G9</f>
        <v>240</v>
      </c>
      <c r="I9" s="40">
        <f>D9*H9</f>
        <v>220.8</v>
      </c>
      <c r="M9" s="38" t="s">
        <v>25</v>
      </c>
      <c r="N9" s="38" t="s">
        <v>11</v>
      </c>
      <c r="O9" s="31">
        <v>0.66700000000000004</v>
      </c>
      <c r="P9" s="38">
        <v>1</v>
      </c>
      <c r="Q9" s="38">
        <v>30</v>
      </c>
      <c r="R9" s="38">
        <v>8</v>
      </c>
      <c r="S9" s="38">
        <f>P9*Q9*R9</f>
        <v>240</v>
      </c>
      <c r="T9" s="40">
        <f>O9*S9</f>
        <v>160.08000000000001</v>
      </c>
    </row>
    <row r="10" spans="2:20" x14ac:dyDescent="0.2">
      <c r="B10" s="38" t="s">
        <v>72</v>
      </c>
      <c r="C10" s="38" t="s">
        <v>0</v>
      </c>
      <c r="D10" s="39">
        <v>0.26429999999999998</v>
      </c>
      <c r="E10" s="38">
        <v>2</v>
      </c>
      <c r="F10" s="38">
        <v>30</v>
      </c>
      <c r="G10" s="38">
        <v>8</v>
      </c>
      <c r="H10" s="38">
        <f>E10*F10*G10</f>
        <v>480</v>
      </c>
      <c r="I10" s="40">
        <f>D10*H10</f>
        <v>126.86399999999999</v>
      </c>
      <c r="M10" s="38" t="s">
        <v>72</v>
      </c>
      <c r="N10" s="38" t="s">
        <v>1</v>
      </c>
      <c r="O10" s="41">
        <v>0.21953500000000001</v>
      </c>
      <c r="P10" s="38">
        <v>2</v>
      </c>
      <c r="Q10" s="38">
        <v>30</v>
      </c>
      <c r="R10" s="38">
        <v>8</v>
      </c>
      <c r="S10" s="38">
        <f>P10*Q10*R10</f>
        <v>480</v>
      </c>
      <c r="T10" s="40">
        <f>O10*S10</f>
        <v>105.3768</v>
      </c>
    </row>
    <row r="11" spans="2:20" x14ac:dyDescent="0.2">
      <c r="B11" s="38" t="s">
        <v>18</v>
      </c>
      <c r="C11" s="38" t="s">
        <v>0</v>
      </c>
      <c r="D11" s="39">
        <v>7.9299999999999995E-2</v>
      </c>
      <c r="E11" s="38">
        <v>3</v>
      </c>
      <c r="F11" s="38">
        <v>30</v>
      </c>
      <c r="G11" s="38">
        <v>8</v>
      </c>
      <c r="H11" s="38">
        <f>E11*F11*G11</f>
        <v>720</v>
      </c>
      <c r="I11" s="40">
        <f>D11*H11</f>
        <v>57.095999999999997</v>
      </c>
      <c r="M11" s="38" t="s">
        <v>18</v>
      </c>
      <c r="N11" s="38" t="s">
        <v>0</v>
      </c>
      <c r="O11" s="41">
        <v>9.6879999999999994E-2</v>
      </c>
      <c r="P11" s="38">
        <v>3</v>
      </c>
      <c r="Q11" s="38">
        <v>30</v>
      </c>
      <c r="R11" s="38">
        <v>8</v>
      </c>
      <c r="S11" s="38">
        <f>P11*Q11*R11</f>
        <v>720</v>
      </c>
      <c r="T11" s="40">
        <f>O11*S11</f>
        <v>69.753599999999992</v>
      </c>
    </row>
    <row r="12" spans="2:20" x14ac:dyDescent="0.2">
      <c r="B12" s="38" t="s">
        <v>28</v>
      </c>
      <c r="C12" s="38" t="s">
        <v>0</v>
      </c>
      <c r="D12" s="39">
        <v>0.25940000000000002</v>
      </c>
      <c r="E12" s="38">
        <v>2</v>
      </c>
      <c r="F12" s="42">
        <v>30</v>
      </c>
      <c r="G12" s="42">
        <v>8</v>
      </c>
      <c r="H12" s="42">
        <f>E12*F12*G12</f>
        <v>480</v>
      </c>
      <c r="I12" s="40">
        <f>D12*H12</f>
        <v>124.51200000000001</v>
      </c>
      <c r="M12" s="38" t="s">
        <v>28</v>
      </c>
      <c r="N12" s="38" t="s">
        <v>0</v>
      </c>
      <c r="O12" s="41">
        <v>0.25190000000000001</v>
      </c>
      <c r="P12" s="38">
        <v>2</v>
      </c>
      <c r="Q12" s="42">
        <v>30</v>
      </c>
      <c r="R12" s="42">
        <v>8</v>
      </c>
      <c r="S12" s="42">
        <f>P12*Q12*R12</f>
        <v>480</v>
      </c>
      <c r="T12" s="40">
        <f>O12*S12</f>
        <v>120.91200000000001</v>
      </c>
    </row>
    <row r="13" spans="2:20" x14ac:dyDescent="0.2">
      <c r="F13" s="43"/>
      <c r="G13" s="44"/>
      <c r="H13" s="45" t="s">
        <v>14</v>
      </c>
      <c r="I13" s="46">
        <f>SUM(I8:I12)</f>
        <v>544.24800000000005</v>
      </c>
      <c r="Q13" s="43"/>
      <c r="R13" s="44"/>
      <c r="S13" s="45" t="s">
        <v>14</v>
      </c>
      <c r="T13" s="46">
        <f>SUM(T8:T12)</f>
        <v>471.18514285714286</v>
      </c>
    </row>
    <row r="14" spans="2:20" x14ac:dyDescent="0.2">
      <c r="B14" s="47" t="s">
        <v>15</v>
      </c>
      <c r="M14" s="47" t="s">
        <v>15</v>
      </c>
    </row>
    <row r="15" spans="2:20" ht="51" x14ac:dyDescent="0.2">
      <c r="B15" s="48" t="s">
        <v>3</v>
      </c>
      <c r="C15" s="48" t="s">
        <v>4</v>
      </c>
      <c r="D15" s="49" t="s">
        <v>92</v>
      </c>
      <c r="E15" s="48" t="s">
        <v>93</v>
      </c>
      <c r="F15" s="48" t="s">
        <v>7</v>
      </c>
      <c r="G15" s="48" t="s">
        <v>8</v>
      </c>
      <c r="H15" s="48" t="s">
        <v>91</v>
      </c>
      <c r="I15" s="48" t="s">
        <v>26</v>
      </c>
      <c r="M15" s="48" t="s">
        <v>3</v>
      </c>
      <c r="N15" s="48" t="s">
        <v>4</v>
      </c>
      <c r="O15" s="48" t="s">
        <v>92</v>
      </c>
      <c r="P15" s="48" t="s">
        <v>93</v>
      </c>
      <c r="Q15" s="48" t="s">
        <v>7</v>
      </c>
      <c r="R15" s="48" t="s">
        <v>8</v>
      </c>
      <c r="S15" s="48" t="s">
        <v>91</v>
      </c>
      <c r="T15" s="48" t="s">
        <v>26</v>
      </c>
    </row>
    <row r="16" spans="2:20" x14ac:dyDescent="0.2">
      <c r="B16" s="38" t="s">
        <v>30</v>
      </c>
      <c r="C16" s="38" t="s">
        <v>29</v>
      </c>
      <c r="D16" s="39">
        <f>D8</f>
        <v>2.0799999999999999E-2</v>
      </c>
      <c r="E16" s="38">
        <v>3</v>
      </c>
      <c r="F16" s="38">
        <v>30</v>
      </c>
      <c r="G16" s="38">
        <v>12</v>
      </c>
      <c r="H16" s="38">
        <f>E16*F16*G16</f>
        <v>1080</v>
      </c>
      <c r="I16" s="40">
        <f>D16*H16</f>
        <v>22.463999999999999</v>
      </c>
      <c r="M16" s="38" t="s">
        <v>30</v>
      </c>
      <c r="N16" s="38" t="s">
        <v>29</v>
      </c>
      <c r="O16" s="39">
        <f>O8</f>
        <v>2.0920476190476191E-2</v>
      </c>
      <c r="P16" s="38">
        <v>3</v>
      </c>
      <c r="Q16" s="38">
        <v>30</v>
      </c>
      <c r="R16" s="38">
        <v>12</v>
      </c>
      <c r="S16" s="38">
        <f>P16*Q16*R16</f>
        <v>1080</v>
      </c>
      <c r="T16" s="40">
        <f>O16*S16</f>
        <v>22.594114285714287</v>
      </c>
    </row>
    <row r="17" spans="2:20" x14ac:dyDescent="0.2">
      <c r="B17" s="38" t="s">
        <v>72</v>
      </c>
      <c r="C17" s="38" t="s">
        <v>0</v>
      </c>
      <c r="D17" s="39">
        <f>D10</f>
        <v>0.26429999999999998</v>
      </c>
      <c r="E17" s="38">
        <v>2</v>
      </c>
      <c r="F17" s="38">
        <v>30</v>
      </c>
      <c r="G17" s="38">
        <v>12</v>
      </c>
      <c r="H17" s="38">
        <f>E17*F17*G17</f>
        <v>720</v>
      </c>
      <c r="I17" s="40">
        <f>D17*H17</f>
        <v>190.29599999999999</v>
      </c>
      <c r="M17" s="38" t="s">
        <v>72</v>
      </c>
      <c r="N17" s="38" t="s">
        <v>1</v>
      </c>
      <c r="O17" s="39">
        <f>O10</f>
        <v>0.21953500000000001</v>
      </c>
      <c r="P17" s="38">
        <v>2</v>
      </c>
      <c r="Q17" s="38">
        <v>30</v>
      </c>
      <c r="R17" s="38">
        <v>12</v>
      </c>
      <c r="S17" s="38">
        <f>P17*Q17*R17</f>
        <v>720</v>
      </c>
      <c r="T17" s="40">
        <f>O17*S17</f>
        <v>158.0652</v>
      </c>
    </row>
    <row r="18" spans="2:20" x14ac:dyDescent="0.2">
      <c r="B18" s="38" t="s">
        <v>18</v>
      </c>
      <c r="C18" s="38" t="s">
        <v>0</v>
      </c>
      <c r="D18" s="39">
        <f>D11</f>
        <v>7.9299999999999995E-2</v>
      </c>
      <c r="E18" s="38">
        <v>3</v>
      </c>
      <c r="F18" s="38">
        <v>30</v>
      </c>
      <c r="G18" s="38">
        <v>12</v>
      </c>
      <c r="H18" s="38">
        <f>E18*F18*G18</f>
        <v>1080</v>
      </c>
      <c r="I18" s="40">
        <f>D18*H18</f>
        <v>85.643999999999991</v>
      </c>
      <c r="M18" s="38" t="s">
        <v>18</v>
      </c>
      <c r="N18" s="38" t="s">
        <v>0</v>
      </c>
      <c r="O18" s="39">
        <f>O11</f>
        <v>9.6879999999999994E-2</v>
      </c>
      <c r="P18" s="38">
        <v>3</v>
      </c>
      <c r="Q18" s="38">
        <v>30</v>
      </c>
      <c r="R18" s="38">
        <v>12</v>
      </c>
      <c r="S18" s="38">
        <f>P18*Q18*R18</f>
        <v>1080</v>
      </c>
      <c r="T18" s="40">
        <f>O18*S18</f>
        <v>104.63039999999999</v>
      </c>
    </row>
    <row r="19" spans="2:20" x14ac:dyDescent="0.2">
      <c r="B19" s="38" t="s">
        <v>28</v>
      </c>
      <c r="C19" s="38" t="s">
        <v>0</v>
      </c>
      <c r="D19" s="39">
        <f>D12</f>
        <v>0.25940000000000002</v>
      </c>
      <c r="E19" s="38">
        <v>2</v>
      </c>
      <c r="F19" s="38">
        <v>30</v>
      </c>
      <c r="G19" s="38">
        <v>12</v>
      </c>
      <c r="H19" s="38">
        <f>E19*F19*G19</f>
        <v>720</v>
      </c>
      <c r="I19" s="40">
        <f>D19*H19</f>
        <v>186.768</v>
      </c>
      <c r="M19" s="38" t="s">
        <v>28</v>
      </c>
      <c r="N19" s="38" t="s">
        <v>0</v>
      </c>
      <c r="O19" s="39">
        <f>O12</f>
        <v>0.25190000000000001</v>
      </c>
      <c r="P19" s="38">
        <v>2</v>
      </c>
      <c r="Q19" s="38">
        <v>30</v>
      </c>
      <c r="R19" s="38">
        <v>12</v>
      </c>
      <c r="S19" s="38">
        <f>P19*Q19*R19</f>
        <v>720</v>
      </c>
      <c r="T19" s="40">
        <f>O19*S19</f>
        <v>181.36799999999999</v>
      </c>
    </row>
    <row r="20" spans="2:20" x14ac:dyDescent="0.2">
      <c r="F20" s="43"/>
      <c r="G20" s="44"/>
      <c r="H20" s="45" t="s">
        <v>48</v>
      </c>
      <c r="I20" s="46">
        <f>SUM(I16:I19)</f>
        <v>485.17200000000003</v>
      </c>
      <c r="Q20" s="43"/>
      <c r="R20" s="44"/>
      <c r="S20" s="45" t="s">
        <v>48</v>
      </c>
      <c r="T20" s="46">
        <f>SUM(T16:T19)</f>
        <v>466.65771428571429</v>
      </c>
    </row>
    <row r="21" spans="2:20" ht="13.5" thickBot="1" x14ac:dyDescent="0.25"/>
    <row r="22" spans="2:20" ht="13.5" thickBot="1" x14ac:dyDescent="0.25">
      <c r="H22" s="50" t="s">
        <v>27</v>
      </c>
      <c r="I22" s="51">
        <f>I13+I20</f>
        <v>1029.42</v>
      </c>
      <c r="S22" s="50" t="s">
        <v>27</v>
      </c>
      <c r="T22" s="51">
        <f>T13+T20</f>
        <v>937.84285714285716</v>
      </c>
    </row>
    <row r="26" spans="2:20" x14ac:dyDescent="0.2">
      <c r="L26"/>
      <c r="M26"/>
      <c r="N26"/>
      <c r="O26"/>
      <c r="P26"/>
    </row>
    <row r="27" spans="2:20" x14ac:dyDescent="0.2">
      <c r="L27"/>
      <c r="M27"/>
      <c r="N27"/>
      <c r="O27"/>
      <c r="P27"/>
    </row>
    <row r="28" spans="2:20" x14ac:dyDescent="0.2">
      <c r="L28"/>
      <c r="M28" s="1"/>
      <c r="N28" s="1"/>
      <c r="O28"/>
      <c r="P28"/>
    </row>
    <row r="29" spans="2:20" x14ac:dyDescent="0.2">
      <c r="L29"/>
      <c r="M29" s="1"/>
      <c r="N29" s="1"/>
      <c r="O29"/>
      <c r="P29"/>
    </row>
    <row r="30" spans="2:20" x14ac:dyDescent="0.2">
      <c r="L30"/>
      <c r="M30"/>
      <c r="N30"/>
      <c r="O30"/>
      <c r="P30"/>
    </row>
    <row r="31" spans="2:20" x14ac:dyDescent="0.2">
      <c r="L31"/>
      <c r="M31"/>
      <c r="N31"/>
      <c r="O31"/>
      <c r="P31"/>
    </row>
    <row r="32" spans="2:20" x14ac:dyDescent="0.2">
      <c r="L32"/>
      <c r="M32"/>
      <c r="N32"/>
      <c r="O32"/>
      <c r="P32"/>
    </row>
    <row r="33" spans="12:16" x14ac:dyDescent="0.2">
      <c r="L33"/>
      <c r="M33"/>
      <c r="N33"/>
      <c r="O33"/>
      <c r="P33"/>
    </row>
  </sheetData>
  <mergeCells count="6">
    <mergeCell ref="B2:I2"/>
    <mergeCell ref="M2:T2"/>
    <mergeCell ref="B3:I3"/>
    <mergeCell ref="M3:T3"/>
    <mergeCell ref="B4:I4"/>
    <mergeCell ref="M4:T4"/>
  </mergeCells>
  <pageMargins left="0.75" right="0.75" top="1" bottom="1" header="0.5" footer="0.5"/>
  <pageSetup paperSize="9" orientation="portrait" r:id="rId1"/>
  <headerFooter alignWithMargins="0"/>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D620D-8AE2-4D07-9BE5-45986F69B399}">
  <sheetPr>
    <tabColor rgb="FFFF0000"/>
  </sheetPr>
  <dimension ref="B2:T34"/>
  <sheetViews>
    <sheetView showGridLines="0" zoomScaleNormal="100" workbookViewId="0">
      <selection activeCell="L27" sqref="L27:P34"/>
    </sheetView>
  </sheetViews>
  <sheetFormatPr defaultRowHeight="12.75" x14ac:dyDescent="0.2"/>
  <cols>
    <col min="1" max="1" width="9.140625" style="34"/>
    <col min="2" max="2" width="16.42578125" style="34" customWidth="1"/>
    <col min="3" max="3" width="9.140625" style="34"/>
    <col min="4" max="4" width="9.140625" style="35"/>
    <col min="5" max="7" width="9.140625" style="34"/>
    <col min="8" max="8" width="14.5703125" style="34" customWidth="1"/>
    <col min="9" max="9" width="14.140625" style="34" customWidth="1"/>
    <col min="10" max="10" width="9.140625" style="31"/>
    <col min="11" max="11" width="9.140625" style="32"/>
    <col min="12" max="12" width="9.140625" style="31"/>
    <col min="13" max="13" width="16.42578125" style="34" customWidth="1"/>
    <col min="14" max="14" width="9.140625" style="34"/>
    <col min="15" max="15" width="9.140625" style="35"/>
    <col min="16" max="18" width="9.140625" style="34"/>
    <col min="19" max="19" width="14.5703125" style="34" customWidth="1"/>
    <col min="20" max="20" width="14.140625" style="34" customWidth="1"/>
    <col min="21" max="16384" width="9.140625" style="34"/>
  </cols>
  <sheetData>
    <row r="2" spans="2:20" ht="15.75" x14ac:dyDescent="0.25">
      <c r="B2" s="123">
        <v>2018</v>
      </c>
      <c r="C2" s="123"/>
      <c r="D2" s="123"/>
      <c r="E2" s="123"/>
      <c r="F2" s="123"/>
      <c r="G2" s="123"/>
      <c r="H2" s="123"/>
      <c r="I2" s="123"/>
      <c r="M2" s="123">
        <v>2019</v>
      </c>
      <c r="N2" s="123"/>
      <c r="O2" s="123"/>
      <c r="P2" s="123"/>
      <c r="Q2" s="123"/>
      <c r="R2" s="123"/>
      <c r="S2" s="123"/>
      <c r="T2" s="123"/>
    </row>
    <row r="3" spans="2:20" ht="15.75" customHeight="1" x14ac:dyDescent="0.25">
      <c r="B3" s="123" t="s">
        <v>70</v>
      </c>
      <c r="C3" s="123"/>
      <c r="D3" s="123"/>
      <c r="E3" s="123"/>
      <c r="F3" s="123"/>
      <c r="G3" s="123"/>
      <c r="H3" s="123"/>
      <c r="I3" s="123"/>
      <c r="M3" s="123" t="s">
        <v>70</v>
      </c>
      <c r="N3" s="123"/>
      <c r="O3" s="123"/>
      <c r="P3" s="123"/>
      <c r="Q3" s="123"/>
      <c r="R3" s="123"/>
      <c r="S3" s="123"/>
      <c r="T3" s="123"/>
    </row>
    <row r="4" spans="2:20" ht="15.75" x14ac:dyDescent="0.25">
      <c r="B4" s="123" t="s">
        <v>63</v>
      </c>
      <c r="C4" s="123"/>
      <c r="D4" s="123"/>
      <c r="E4" s="123"/>
      <c r="F4" s="123"/>
      <c r="G4" s="123"/>
      <c r="H4" s="123"/>
      <c r="I4" s="123"/>
      <c r="M4" s="123" t="s">
        <v>63</v>
      </c>
      <c r="N4" s="123"/>
      <c r="O4" s="123"/>
      <c r="P4" s="123"/>
      <c r="Q4" s="123"/>
      <c r="R4" s="123"/>
      <c r="S4" s="123"/>
      <c r="T4" s="123"/>
    </row>
    <row r="6" spans="2:20" x14ac:dyDescent="0.2">
      <c r="B6" s="33" t="s">
        <v>2</v>
      </c>
      <c r="M6" s="33" t="s">
        <v>2</v>
      </c>
    </row>
    <row r="7" spans="2:20" ht="38.25" customHeight="1" x14ac:dyDescent="0.2">
      <c r="B7" s="36" t="s">
        <v>3</v>
      </c>
      <c r="C7" s="36" t="s">
        <v>4</v>
      </c>
      <c r="D7" s="37" t="s">
        <v>92</v>
      </c>
      <c r="E7" s="36" t="s">
        <v>93</v>
      </c>
      <c r="F7" s="36" t="s">
        <v>7</v>
      </c>
      <c r="G7" s="36" t="s">
        <v>8</v>
      </c>
      <c r="H7" s="36" t="s">
        <v>91</v>
      </c>
      <c r="I7" s="36" t="s">
        <v>10</v>
      </c>
      <c r="M7" s="36" t="s">
        <v>3</v>
      </c>
      <c r="N7" s="36" t="s">
        <v>4</v>
      </c>
      <c r="O7" s="37" t="s">
        <v>92</v>
      </c>
      <c r="P7" s="36" t="s">
        <v>93</v>
      </c>
      <c r="Q7" s="36" t="s">
        <v>7</v>
      </c>
      <c r="R7" s="36" t="s">
        <v>8</v>
      </c>
      <c r="S7" s="36" t="s">
        <v>91</v>
      </c>
      <c r="T7" s="36" t="s">
        <v>10</v>
      </c>
    </row>
    <row r="8" spans="2:20" x14ac:dyDescent="0.2">
      <c r="B8" s="38" t="s">
        <v>30</v>
      </c>
      <c r="C8" s="38" t="s">
        <v>29</v>
      </c>
      <c r="D8" s="39">
        <f>'Old LTR Km Eto'!D8</f>
        <v>2.0799999999999999E-2</v>
      </c>
      <c r="E8" s="38">
        <v>3</v>
      </c>
      <c r="F8" s="38">
        <v>30</v>
      </c>
      <c r="G8" s="38">
        <v>8</v>
      </c>
      <c r="H8" s="38">
        <f>E8*F8*G8</f>
        <v>720</v>
      </c>
      <c r="I8" s="40">
        <f>D8*H8</f>
        <v>14.975999999999999</v>
      </c>
      <c r="M8" s="38" t="s">
        <v>30</v>
      </c>
      <c r="N8" s="38" t="s">
        <v>29</v>
      </c>
      <c r="O8" s="41">
        <v>2.0920476190476191E-2</v>
      </c>
      <c r="P8" s="38">
        <v>3</v>
      </c>
      <c r="Q8" s="38">
        <v>30</v>
      </c>
      <c r="R8" s="38">
        <v>8</v>
      </c>
      <c r="S8" s="38">
        <f>P8*Q8*R8</f>
        <v>720</v>
      </c>
      <c r="T8" s="40">
        <f>O8*S8</f>
        <v>15.062742857142858</v>
      </c>
    </row>
    <row r="9" spans="2:20" x14ac:dyDescent="0.2">
      <c r="B9" s="38" t="s">
        <v>25</v>
      </c>
      <c r="C9" s="38" t="s">
        <v>11</v>
      </c>
      <c r="D9" s="39">
        <f>'Old LTR Km Eto'!D9</f>
        <v>0.92</v>
      </c>
      <c r="E9" s="38">
        <v>1</v>
      </c>
      <c r="F9" s="38">
        <v>30</v>
      </c>
      <c r="G9" s="38">
        <v>8</v>
      </c>
      <c r="H9" s="38">
        <f>E9*F9*G9</f>
        <v>240</v>
      </c>
      <c r="I9" s="40">
        <f>D9*H9</f>
        <v>220.8</v>
      </c>
      <c r="M9" s="38" t="s">
        <v>25</v>
      </c>
      <c r="N9" s="38" t="s">
        <v>11</v>
      </c>
      <c r="O9" s="31">
        <v>0.66700000000000004</v>
      </c>
      <c r="P9" s="38">
        <v>1</v>
      </c>
      <c r="Q9" s="38">
        <v>30</v>
      </c>
      <c r="R9" s="38">
        <v>8</v>
      </c>
      <c r="S9" s="38">
        <f>P9*Q9*R9</f>
        <v>240</v>
      </c>
      <c r="T9" s="40">
        <f>O9*S9</f>
        <v>160.08000000000001</v>
      </c>
    </row>
    <row r="10" spans="2:20" x14ac:dyDescent="0.2">
      <c r="B10" s="38" t="s">
        <v>13</v>
      </c>
      <c r="C10" s="38" t="s">
        <v>0</v>
      </c>
      <c r="D10" s="39">
        <f>'Old LTR Km Eto'!D10</f>
        <v>2.734E-2</v>
      </c>
      <c r="E10" s="38">
        <v>4</v>
      </c>
      <c r="F10" s="38">
        <v>30</v>
      </c>
      <c r="G10" s="38">
        <v>8</v>
      </c>
      <c r="H10" s="38">
        <f>E10*F10*G10</f>
        <v>960</v>
      </c>
      <c r="I10" s="40">
        <f>D10*H10</f>
        <v>26.246400000000001</v>
      </c>
      <c r="M10" s="38" t="s">
        <v>13</v>
      </c>
      <c r="N10" s="38" t="s">
        <v>0</v>
      </c>
      <c r="O10" s="41">
        <v>2.8150000000000001E-2</v>
      </c>
      <c r="P10" s="38">
        <v>4</v>
      </c>
      <c r="Q10" s="38">
        <v>30</v>
      </c>
      <c r="R10" s="38">
        <v>8</v>
      </c>
      <c r="S10" s="38">
        <f>P10*Q10*R10</f>
        <v>960</v>
      </c>
      <c r="T10" s="40">
        <f>O10*S10</f>
        <v>27.024000000000001</v>
      </c>
    </row>
    <row r="11" spans="2:20" x14ac:dyDescent="0.2">
      <c r="B11" s="38" t="s">
        <v>77</v>
      </c>
      <c r="C11" s="38" t="s">
        <v>0</v>
      </c>
      <c r="D11" s="39">
        <v>8.6245000000000002E-2</v>
      </c>
      <c r="E11" s="38">
        <v>3</v>
      </c>
      <c r="F11" s="38">
        <v>30</v>
      </c>
      <c r="G11" s="38">
        <v>8</v>
      </c>
      <c r="H11" s="38">
        <f>E11*F11*G11</f>
        <v>720</v>
      </c>
      <c r="I11" s="40">
        <f>D11*H11</f>
        <v>62.096400000000003</v>
      </c>
      <c r="M11" s="38" t="s">
        <v>77</v>
      </c>
      <c r="N11" s="38" t="s">
        <v>0</v>
      </c>
      <c r="O11" s="41">
        <v>0.10357</v>
      </c>
      <c r="P11" s="38">
        <v>3</v>
      </c>
      <c r="Q11" s="38">
        <v>30</v>
      </c>
      <c r="R11" s="38">
        <v>8</v>
      </c>
      <c r="S11" s="38">
        <f>P11*Q11*R11</f>
        <v>720</v>
      </c>
      <c r="T11" s="40">
        <f>O11*S11</f>
        <v>74.570399999999992</v>
      </c>
    </row>
    <row r="12" spans="2:20" x14ac:dyDescent="0.2">
      <c r="B12" s="38" t="s">
        <v>28</v>
      </c>
      <c r="C12" s="38" t="s">
        <v>0</v>
      </c>
      <c r="D12" s="39">
        <f>'Old LTR Km Eto'!D12</f>
        <v>0.25940000000000002</v>
      </c>
      <c r="E12" s="38">
        <v>2</v>
      </c>
      <c r="F12" s="42">
        <v>30</v>
      </c>
      <c r="G12" s="42">
        <v>8</v>
      </c>
      <c r="H12" s="42">
        <f>E12*F12*G12</f>
        <v>480</v>
      </c>
      <c r="I12" s="40">
        <f>D12*H12</f>
        <v>124.51200000000001</v>
      </c>
      <c r="M12" s="38" t="s">
        <v>28</v>
      </c>
      <c r="N12" s="38" t="s">
        <v>0</v>
      </c>
      <c r="O12" s="41">
        <v>0.25190000000000001</v>
      </c>
      <c r="P12" s="38">
        <v>2</v>
      </c>
      <c r="Q12" s="42">
        <v>30</v>
      </c>
      <c r="R12" s="42">
        <v>8</v>
      </c>
      <c r="S12" s="42">
        <f>P12*Q12*R12</f>
        <v>480</v>
      </c>
      <c r="T12" s="40">
        <f>O12*S12</f>
        <v>120.91200000000001</v>
      </c>
    </row>
    <row r="13" spans="2:20" x14ac:dyDescent="0.2">
      <c r="F13" s="43"/>
      <c r="G13" s="44"/>
      <c r="H13" s="45" t="s">
        <v>14</v>
      </c>
      <c r="I13" s="46">
        <f>SUM(I8:I12)</f>
        <v>448.63080000000002</v>
      </c>
      <c r="Q13" s="43"/>
      <c r="R13" s="44"/>
      <c r="S13" s="45" t="s">
        <v>14</v>
      </c>
      <c r="T13" s="46">
        <f>SUM(T8:T12)</f>
        <v>397.64914285714292</v>
      </c>
    </row>
    <row r="14" spans="2:20" x14ac:dyDescent="0.2">
      <c r="B14" s="47" t="s">
        <v>15</v>
      </c>
      <c r="M14" s="47" t="s">
        <v>15</v>
      </c>
    </row>
    <row r="15" spans="2:20" ht="38.25" customHeight="1" x14ac:dyDescent="0.2">
      <c r="B15" s="48" t="s">
        <v>3</v>
      </c>
      <c r="C15" s="48" t="s">
        <v>4</v>
      </c>
      <c r="D15" s="49" t="s">
        <v>92</v>
      </c>
      <c r="E15" s="48" t="s">
        <v>93</v>
      </c>
      <c r="F15" s="48" t="s">
        <v>7</v>
      </c>
      <c r="G15" s="48" t="s">
        <v>8</v>
      </c>
      <c r="H15" s="48" t="s">
        <v>91</v>
      </c>
      <c r="I15" s="48" t="str">
        <f>'Old LTR Km Eto'!I15</f>
        <v>Cost of Cont Phase in US$</v>
      </c>
      <c r="M15" s="48" t="s">
        <v>3</v>
      </c>
      <c r="N15" s="48" t="s">
        <v>4</v>
      </c>
      <c r="O15" s="49" t="s">
        <v>92</v>
      </c>
      <c r="P15" s="48" t="s">
        <v>93</v>
      </c>
      <c r="Q15" s="48" t="s">
        <v>7</v>
      </c>
      <c r="R15" s="48" t="s">
        <v>8</v>
      </c>
      <c r="S15" s="48" t="s">
        <v>91</v>
      </c>
      <c r="T15" s="48" t="str">
        <f>'Old LTR Km Eto'!T15</f>
        <v>Cost of Cont Phase in US$</v>
      </c>
    </row>
    <row r="16" spans="2:20" x14ac:dyDescent="0.2">
      <c r="B16" s="38" t="s">
        <v>30</v>
      </c>
      <c r="C16" s="38" t="s">
        <v>29</v>
      </c>
      <c r="D16" s="39">
        <f>D8</f>
        <v>2.0799999999999999E-2</v>
      </c>
      <c r="E16" s="38">
        <v>3</v>
      </c>
      <c r="F16" s="38">
        <v>30</v>
      </c>
      <c r="G16" s="38">
        <v>12</v>
      </c>
      <c r="H16" s="38">
        <f>E16*F16*G16</f>
        <v>1080</v>
      </c>
      <c r="I16" s="40">
        <f>D16*H16</f>
        <v>22.463999999999999</v>
      </c>
      <c r="M16" s="38" t="s">
        <v>30</v>
      </c>
      <c r="N16" s="38" t="s">
        <v>29</v>
      </c>
      <c r="O16" s="39">
        <f>O8</f>
        <v>2.0920476190476191E-2</v>
      </c>
      <c r="P16" s="38">
        <v>3</v>
      </c>
      <c r="Q16" s="38">
        <v>30</v>
      </c>
      <c r="R16" s="38">
        <v>12</v>
      </c>
      <c r="S16" s="38">
        <f>P16*Q16*R16</f>
        <v>1080</v>
      </c>
      <c r="T16" s="40">
        <f>O16*S16</f>
        <v>22.594114285714287</v>
      </c>
    </row>
    <row r="17" spans="2:20" x14ac:dyDescent="0.2">
      <c r="B17" s="38" t="s">
        <v>13</v>
      </c>
      <c r="C17" s="38" t="s">
        <v>0</v>
      </c>
      <c r="D17" s="39">
        <f>D10</f>
        <v>2.734E-2</v>
      </c>
      <c r="E17" s="38">
        <v>4</v>
      </c>
      <c r="F17" s="38">
        <v>30</v>
      </c>
      <c r="G17" s="38">
        <v>12</v>
      </c>
      <c r="H17" s="38">
        <f>E17*F17*G17</f>
        <v>1440</v>
      </c>
      <c r="I17" s="40">
        <f>D17*H17</f>
        <v>39.369599999999998</v>
      </c>
      <c r="M17" s="38" t="s">
        <v>13</v>
      </c>
      <c r="N17" s="38" t="s">
        <v>0</v>
      </c>
      <c r="O17" s="39">
        <f>O10</f>
        <v>2.8150000000000001E-2</v>
      </c>
      <c r="P17" s="38">
        <v>4</v>
      </c>
      <c r="Q17" s="38">
        <v>30</v>
      </c>
      <c r="R17" s="38">
        <v>12</v>
      </c>
      <c r="S17" s="38">
        <f>P17*Q17*R17</f>
        <v>1440</v>
      </c>
      <c r="T17" s="40">
        <f>O17*S17</f>
        <v>40.536000000000001</v>
      </c>
    </row>
    <row r="18" spans="2:20" x14ac:dyDescent="0.2">
      <c r="B18" s="38" t="s">
        <v>77</v>
      </c>
      <c r="C18" s="38" t="s">
        <v>0</v>
      </c>
      <c r="D18" s="39">
        <f>D11</f>
        <v>8.6245000000000002E-2</v>
      </c>
      <c r="E18" s="38">
        <v>3</v>
      </c>
      <c r="F18" s="38">
        <v>30</v>
      </c>
      <c r="G18" s="38">
        <v>12</v>
      </c>
      <c r="H18" s="38">
        <f>E18*F18*G18</f>
        <v>1080</v>
      </c>
      <c r="I18" s="40">
        <f>D18*H18</f>
        <v>93.144599999999997</v>
      </c>
      <c r="M18" s="38" t="s">
        <v>77</v>
      </c>
      <c r="N18" s="38" t="s">
        <v>0</v>
      </c>
      <c r="O18" s="39">
        <f>O11</f>
        <v>0.10357</v>
      </c>
      <c r="P18" s="38">
        <v>3</v>
      </c>
      <c r="Q18" s="38">
        <v>30</v>
      </c>
      <c r="R18" s="38">
        <v>12</v>
      </c>
      <c r="S18" s="38">
        <f>P18*Q18*R18</f>
        <v>1080</v>
      </c>
      <c r="T18" s="40">
        <f>O18*S18</f>
        <v>111.8556</v>
      </c>
    </row>
    <row r="19" spans="2:20" x14ac:dyDescent="0.2">
      <c r="B19" s="38" t="s">
        <v>28</v>
      </c>
      <c r="C19" s="38" t="s">
        <v>0</v>
      </c>
      <c r="D19" s="39">
        <f>D12</f>
        <v>0.25940000000000002</v>
      </c>
      <c r="E19" s="38">
        <v>2</v>
      </c>
      <c r="F19" s="38">
        <v>30</v>
      </c>
      <c r="G19" s="38">
        <v>12</v>
      </c>
      <c r="H19" s="38">
        <f>E19*F19*G19</f>
        <v>720</v>
      </c>
      <c r="I19" s="40">
        <f>D19*H19</f>
        <v>186.768</v>
      </c>
      <c r="M19" s="38" t="s">
        <v>28</v>
      </c>
      <c r="N19" s="38" t="s">
        <v>0</v>
      </c>
      <c r="O19" s="39">
        <f>O12</f>
        <v>0.25190000000000001</v>
      </c>
      <c r="P19" s="38">
        <v>2</v>
      </c>
      <c r="Q19" s="38">
        <v>30</v>
      </c>
      <c r="R19" s="38">
        <v>12</v>
      </c>
      <c r="S19" s="38">
        <f>P19*Q19*R19</f>
        <v>720</v>
      </c>
      <c r="T19" s="40">
        <f>O19*S19</f>
        <v>181.36799999999999</v>
      </c>
    </row>
    <row r="20" spans="2:20" x14ac:dyDescent="0.2">
      <c r="F20" s="43"/>
      <c r="G20" s="44"/>
      <c r="H20" s="45" t="s">
        <v>48</v>
      </c>
      <c r="I20" s="46">
        <f>SUM(I16:I19)</f>
        <v>341.74619999999999</v>
      </c>
      <c r="Q20" s="43"/>
      <c r="R20" s="44"/>
      <c r="S20" s="45" t="s">
        <v>48</v>
      </c>
      <c r="T20" s="46">
        <f>SUM(T16:T19)</f>
        <v>356.35371428571426</v>
      </c>
    </row>
    <row r="21" spans="2:20" ht="13.5" thickBot="1" x14ac:dyDescent="0.25"/>
    <row r="22" spans="2:20" ht="13.5" thickBot="1" x14ac:dyDescent="0.25">
      <c r="H22" s="50" t="s">
        <v>16</v>
      </c>
      <c r="I22" s="51">
        <f>I13+I20</f>
        <v>790.37699999999995</v>
      </c>
      <c r="S22" s="50" t="s">
        <v>16</v>
      </c>
      <c r="T22" s="51">
        <f>T13+T20</f>
        <v>754.00285714285724</v>
      </c>
    </row>
    <row r="23" spans="2:20" x14ac:dyDescent="0.2">
      <c r="H23" s="50"/>
      <c r="I23" s="52"/>
    </row>
    <row r="27" spans="2:20" x14ac:dyDescent="0.2">
      <c r="L27"/>
      <c r="M27"/>
      <c r="N27"/>
      <c r="O27"/>
      <c r="P27"/>
    </row>
    <row r="28" spans="2:20" x14ac:dyDescent="0.2">
      <c r="L28"/>
      <c r="M28"/>
      <c r="N28"/>
      <c r="O28"/>
      <c r="P28"/>
    </row>
    <row r="29" spans="2:20" x14ac:dyDescent="0.2">
      <c r="L29"/>
      <c r="M29" s="1"/>
      <c r="N29" s="1"/>
      <c r="O29"/>
      <c r="P29"/>
    </row>
    <row r="30" spans="2:20" x14ac:dyDescent="0.2">
      <c r="L30"/>
      <c r="M30" s="1"/>
      <c r="N30" s="1"/>
      <c r="O30"/>
      <c r="P30"/>
    </row>
    <row r="31" spans="2:20" x14ac:dyDescent="0.2">
      <c r="L31"/>
      <c r="M31"/>
      <c r="N31"/>
      <c r="O31"/>
      <c r="P31"/>
    </row>
    <row r="32" spans="2:20" x14ac:dyDescent="0.2">
      <c r="L32"/>
      <c r="M32"/>
      <c r="N32"/>
      <c r="O32"/>
      <c r="P32"/>
    </row>
    <row r="33" spans="12:16" x14ac:dyDescent="0.2">
      <c r="L33"/>
      <c r="M33"/>
      <c r="N33"/>
      <c r="O33"/>
      <c r="P33"/>
    </row>
    <row r="34" spans="12:16" x14ac:dyDescent="0.2">
      <c r="L34"/>
      <c r="M34"/>
      <c r="N34"/>
      <c r="O34"/>
      <c r="P34"/>
    </row>
  </sheetData>
  <mergeCells count="6">
    <mergeCell ref="B2:I2"/>
    <mergeCell ref="M2:T2"/>
    <mergeCell ref="B3:I3"/>
    <mergeCell ref="M3:T3"/>
    <mergeCell ref="B4:I4"/>
    <mergeCell ref="M4:T4"/>
  </mergeCells>
  <pageMargins left="0.75" right="0.75" top="1" bottom="1" header="0.5" footer="0.5"/>
  <pageSetup paperSize="9" orientation="portrait" r:id="rId1"/>
  <headerFooter alignWithMargins="0"/>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6220D-E6C0-49DB-9179-23D3F07D4293}">
  <sheetPr>
    <tabColor rgb="FFFF0000"/>
  </sheetPr>
  <dimension ref="B2:T56"/>
  <sheetViews>
    <sheetView showGridLines="0" zoomScaleNormal="100" workbookViewId="0">
      <selection activeCell="L49" sqref="L49:P56"/>
    </sheetView>
  </sheetViews>
  <sheetFormatPr defaultRowHeight="12.75" x14ac:dyDescent="0.2"/>
  <cols>
    <col min="1" max="1" width="9.140625" style="34"/>
    <col min="2" max="2" width="16.28515625" style="34" bestFit="1" customWidth="1"/>
    <col min="3" max="3" width="9" style="34" customWidth="1"/>
    <col min="4" max="4" width="9.5703125" style="35" customWidth="1"/>
    <col min="5" max="6" width="8.85546875" style="34" bestFit="1" customWidth="1"/>
    <col min="7" max="7" width="7.5703125" style="34" customWidth="1"/>
    <col min="8" max="8" width="14.42578125" style="34" customWidth="1"/>
    <col min="9" max="9" width="12.28515625" style="34" customWidth="1"/>
    <col min="10" max="10" width="9.140625" style="31"/>
    <col min="11" max="11" width="9.140625" style="32"/>
    <col min="12" max="12" width="9.140625" style="31"/>
    <col min="13" max="13" width="16.7109375" style="34" bestFit="1" customWidth="1"/>
    <col min="14" max="14" width="9.140625" style="31"/>
    <col min="15" max="15" width="9.140625" style="53"/>
    <col min="16" max="18" width="9.140625" style="31"/>
    <col min="19" max="19" width="18.5703125" style="31" customWidth="1"/>
    <col min="20" max="20" width="9.140625" style="31"/>
    <col min="21" max="16384" width="9.140625" style="34"/>
  </cols>
  <sheetData>
    <row r="2" spans="2:20" ht="15.75" x14ac:dyDescent="0.25">
      <c r="B2" s="123">
        <v>2018</v>
      </c>
      <c r="C2" s="123"/>
      <c r="D2" s="123"/>
      <c r="E2" s="123"/>
      <c r="F2" s="123"/>
      <c r="G2" s="123"/>
      <c r="H2" s="123"/>
      <c r="I2" s="123"/>
      <c r="M2" s="123">
        <v>2019</v>
      </c>
      <c r="N2" s="123"/>
      <c r="O2" s="123"/>
      <c r="P2" s="123"/>
      <c r="Q2" s="123"/>
      <c r="R2" s="123"/>
      <c r="S2" s="123"/>
      <c r="T2" s="123"/>
    </row>
    <row r="3" spans="2:20" ht="15.75" customHeight="1" x14ac:dyDescent="0.25">
      <c r="B3" s="123" t="s">
        <v>107</v>
      </c>
      <c r="C3" s="123"/>
      <c r="D3" s="123"/>
      <c r="E3" s="123"/>
      <c r="F3" s="123"/>
      <c r="G3" s="123"/>
      <c r="H3" s="123"/>
      <c r="I3" s="123"/>
      <c r="M3" s="123" t="s">
        <v>108</v>
      </c>
      <c r="N3" s="123"/>
      <c r="O3" s="123"/>
      <c r="P3" s="123"/>
      <c r="Q3" s="123"/>
      <c r="R3" s="123"/>
      <c r="S3" s="123"/>
      <c r="T3" s="123"/>
    </row>
    <row r="4" spans="2:20" ht="15.75" x14ac:dyDescent="0.25">
      <c r="B4" s="123" t="s">
        <v>63</v>
      </c>
      <c r="C4" s="123"/>
      <c r="D4" s="123"/>
      <c r="E4" s="123"/>
      <c r="F4" s="123"/>
      <c r="G4" s="123"/>
      <c r="H4" s="123"/>
      <c r="I4" s="123"/>
      <c r="M4" s="123" t="s">
        <v>63</v>
      </c>
      <c r="N4" s="123"/>
      <c r="O4" s="123"/>
      <c r="P4" s="123"/>
      <c r="Q4" s="123"/>
      <c r="R4" s="123"/>
      <c r="S4" s="123"/>
      <c r="T4" s="123"/>
    </row>
    <row r="5" spans="2:20" x14ac:dyDescent="0.2">
      <c r="N5" s="34"/>
      <c r="O5" s="35"/>
      <c r="P5" s="34"/>
      <c r="Q5" s="34"/>
      <c r="R5" s="34"/>
      <c r="S5" s="34"/>
      <c r="T5" s="34"/>
    </row>
    <row r="6" spans="2:20" x14ac:dyDescent="0.2">
      <c r="B6" s="33" t="s">
        <v>2</v>
      </c>
      <c r="M6" s="33" t="s">
        <v>2</v>
      </c>
      <c r="N6" s="34"/>
      <c r="O6" s="35"/>
      <c r="P6" s="34"/>
      <c r="Q6" s="34"/>
      <c r="R6" s="34"/>
      <c r="S6" s="34"/>
      <c r="T6" s="34"/>
    </row>
    <row r="7" spans="2:20" ht="51" x14ac:dyDescent="0.2">
      <c r="B7" s="36" t="s">
        <v>3</v>
      </c>
      <c r="C7" s="36" t="s">
        <v>4</v>
      </c>
      <c r="D7" s="37" t="s">
        <v>89</v>
      </c>
      <c r="E7" s="36" t="s">
        <v>90</v>
      </c>
      <c r="F7" s="36" t="s">
        <v>7</v>
      </c>
      <c r="G7" s="36" t="s">
        <v>8</v>
      </c>
      <c r="H7" s="36" t="s">
        <v>91</v>
      </c>
      <c r="I7" s="36" t="s">
        <v>10</v>
      </c>
      <c r="M7" s="36" t="s">
        <v>3</v>
      </c>
      <c r="N7" s="36" t="s">
        <v>4</v>
      </c>
      <c r="O7" s="37" t="s">
        <v>92</v>
      </c>
      <c r="P7" s="36" t="s">
        <v>93</v>
      </c>
      <c r="Q7" s="36" t="s">
        <v>7</v>
      </c>
      <c r="R7" s="36" t="s">
        <v>8</v>
      </c>
      <c r="S7" s="36" t="s">
        <v>91</v>
      </c>
      <c r="T7" s="36" t="s">
        <v>10</v>
      </c>
    </row>
    <row r="8" spans="2:20" x14ac:dyDescent="0.2">
      <c r="B8" s="38" t="s">
        <v>30</v>
      </c>
      <c r="C8" s="38" t="s">
        <v>29</v>
      </c>
      <c r="D8" s="39">
        <v>2.0799999999999999E-2</v>
      </c>
      <c r="E8" s="38">
        <v>3</v>
      </c>
      <c r="F8" s="38">
        <v>30</v>
      </c>
      <c r="G8" s="38">
        <v>8</v>
      </c>
      <c r="H8" s="38">
        <f>E8*F8*G8</f>
        <v>720</v>
      </c>
      <c r="I8" s="40">
        <f>D8*H8</f>
        <v>14.975999999999999</v>
      </c>
      <c r="M8" s="38" t="s">
        <v>30</v>
      </c>
      <c r="N8" s="38" t="s">
        <v>29</v>
      </c>
      <c r="O8" s="41">
        <v>2.0920476190476191E-2</v>
      </c>
      <c r="P8" s="38">
        <v>3</v>
      </c>
      <c r="Q8" s="38">
        <v>30</v>
      </c>
      <c r="R8" s="38">
        <v>8</v>
      </c>
      <c r="S8" s="38">
        <f>P8*Q8*R8</f>
        <v>720</v>
      </c>
      <c r="T8" s="40">
        <f>O8*S8</f>
        <v>15.062742857142858</v>
      </c>
    </row>
    <row r="9" spans="2:20" x14ac:dyDescent="0.2">
      <c r="B9" s="38" t="s">
        <v>78</v>
      </c>
      <c r="C9" s="38" t="s">
        <v>11</v>
      </c>
      <c r="D9" s="39">
        <v>3.3169</v>
      </c>
      <c r="E9" s="38">
        <v>1</v>
      </c>
      <c r="F9" s="38">
        <v>30</v>
      </c>
      <c r="G9" s="38">
        <v>8</v>
      </c>
      <c r="H9" s="38">
        <f>E9*F9*G9</f>
        <v>240</v>
      </c>
      <c r="I9" s="40">
        <f>D9*H9</f>
        <v>796.05600000000004</v>
      </c>
      <c r="M9" s="38" t="s">
        <v>78</v>
      </c>
      <c r="N9" s="38" t="s">
        <v>11</v>
      </c>
      <c r="O9" s="31">
        <v>2.2389999999999999</v>
      </c>
      <c r="P9" s="38">
        <v>1</v>
      </c>
      <c r="Q9" s="38">
        <v>30</v>
      </c>
      <c r="R9" s="38">
        <v>8</v>
      </c>
      <c r="S9" s="38">
        <f>P9*Q9*R9</f>
        <v>240</v>
      </c>
      <c r="T9" s="40">
        <f>O9*S9</f>
        <v>537.36</v>
      </c>
    </row>
    <row r="10" spans="2:20" x14ac:dyDescent="0.2">
      <c r="B10" s="38" t="s">
        <v>72</v>
      </c>
      <c r="C10" s="38" t="s">
        <v>1</v>
      </c>
      <c r="D10" s="39">
        <v>0.26429999999999998</v>
      </c>
      <c r="E10" s="38">
        <v>2</v>
      </c>
      <c r="F10" s="38">
        <v>30</v>
      </c>
      <c r="G10" s="38">
        <v>8</v>
      </c>
      <c r="H10" s="38">
        <f>E10*F10*G10</f>
        <v>480</v>
      </c>
      <c r="I10" s="40">
        <f>D10*H10</f>
        <v>126.86399999999999</v>
      </c>
      <c r="M10" s="38" t="s">
        <v>72</v>
      </c>
      <c r="N10" s="38" t="s">
        <v>1</v>
      </c>
      <c r="O10" s="41">
        <v>0.21953500000000001</v>
      </c>
      <c r="P10" s="38">
        <v>2</v>
      </c>
      <c r="Q10" s="38">
        <v>30</v>
      </c>
      <c r="R10" s="38">
        <v>8</v>
      </c>
      <c r="S10" s="38">
        <f>P10*Q10*R10</f>
        <v>480</v>
      </c>
      <c r="T10" s="40">
        <f>O10*S10</f>
        <v>105.3768</v>
      </c>
    </row>
    <row r="11" spans="2:20" x14ac:dyDescent="0.2">
      <c r="B11" s="38" t="s">
        <v>18</v>
      </c>
      <c r="C11" s="38" t="s">
        <v>0</v>
      </c>
      <c r="D11" s="39">
        <v>7.9299999999999995E-2</v>
      </c>
      <c r="E11" s="38">
        <v>3</v>
      </c>
      <c r="F11" s="38">
        <v>30</v>
      </c>
      <c r="G11" s="38">
        <v>8</v>
      </c>
      <c r="H11" s="38">
        <f>E11*F11*G11</f>
        <v>720</v>
      </c>
      <c r="I11" s="40">
        <f>D11*H11</f>
        <v>57.095999999999997</v>
      </c>
      <c r="M11" s="38" t="s">
        <v>18</v>
      </c>
      <c r="N11" s="38" t="s">
        <v>0</v>
      </c>
      <c r="O11" s="41">
        <v>9.6879999999999994E-2</v>
      </c>
      <c r="P11" s="38">
        <v>3</v>
      </c>
      <c r="Q11" s="38">
        <v>30</v>
      </c>
      <c r="R11" s="38">
        <v>8</v>
      </c>
      <c r="S11" s="38">
        <f>P11*Q11*R11</f>
        <v>720</v>
      </c>
      <c r="T11" s="40">
        <f>O11*S11</f>
        <v>69.753599999999992</v>
      </c>
    </row>
    <row r="12" spans="2:20" x14ac:dyDescent="0.2">
      <c r="B12" s="38" t="s">
        <v>28</v>
      </c>
      <c r="C12" s="38" t="s">
        <v>0</v>
      </c>
      <c r="D12" s="39">
        <v>0.25940000000000002</v>
      </c>
      <c r="E12" s="38">
        <v>2</v>
      </c>
      <c r="F12" s="42">
        <v>30</v>
      </c>
      <c r="G12" s="42">
        <v>8</v>
      </c>
      <c r="H12" s="42">
        <f>E12*F12*G12</f>
        <v>480</v>
      </c>
      <c r="I12" s="40">
        <f>D12*H12</f>
        <v>124.51200000000001</v>
      </c>
      <c r="M12" s="38" t="s">
        <v>28</v>
      </c>
      <c r="N12" s="38" t="s">
        <v>0</v>
      </c>
      <c r="O12" s="41">
        <v>0.25190000000000001</v>
      </c>
      <c r="P12" s="38">
        <v>2</v>
      </c>
      <c r="Q12" s="38">
        <v>30</v>
      </c>
      <c r="R12" s="38">
        <v>8</v>
      </c>
      <c r="S12" s="38">
        <f>P12*Q12*R12</f>
        <v>480</v>
      </c>
      <c r="T12" s="40">
        <f>O12*S12</f>
        <v>120.91200000000001</v>
      </c>
    </row>
    <row r="13" spans="2:20" x14ac:dyDescent="0.2">
      <c r="F13" s="43"/>
      <c r="G13" s="44"/>
      <c r="H13" s="45" t="s">
        <v>14</v>
      </c>
      <c r="I13" s="46">
        <f>SUM(I8:I12)</f>
        <v>1119.5040000000001</v>
      </c>
      <c r="N13" s="34"/>
      <c r="O13" s="35"/>
      <c r="P13" s="34"/>
      <c r="Q13" s="43"/>
      <c r="R13" s="44"/>
      <c r="S13" s="45" t="s">
        <v>14</v>
      </c>
      <c r="T13" s="46">
        <f>SUM(T8:T12)</f>
        <v>848.46514285714295</v>
      </c>
    </row>
    <row r="14" spans="2:20" x14ac:dyDescent="0.2">
      <c r="B14" s="47" t="s">
        <v>15</v>
      </c>
      <c r="M14" s="47" t="s">
        <v>15</v>
      </c>
      <c r="N14" s="34"/>
      <c r="O14" s="35"/>
      <c r="P14" s="34"/>
      <c r="Q14" s="34"/>
      <c r="R14" s="34"/>
      <c r="S14" s="34"/>
      <c r="T14" s="34"/>
    </row>
    <row r="15" spans="2:20" ht="51" x14ac:dyDescent="0.2">
      <c r="B15" s="48" t="s">
        <v>3</v>
      </c>
      <c r="C15" s="48" t="s">
        <v>4</v>
      </c>
      <c r="D15" s="49" t="s">
        <v>89</v>
      </c>
      <c r="E15" s="48" t="s">
        <v>90</v>
      </c>
      <c r="F15" s="48" t="s">
        <v>7</v>
      </c>
      <c r="G15" s="48" t="s">
        <v>8</v>
      </c>
      <c r="H15" s="48" t="s">
        <v>91</v>
      </c>
      <c r="I15" s="48" t="s">
        <v>26</v>
      </c>
      <c r="M15" s="48" t="s">
        <v>3</v>
      </c>
      <c r="N15" s="48" t="s">
        <v>4</v>
      </c>
      <c r="O15" s="49" t="s">
        <v>92</v>
      </c>
      <c r="P15" s="48" t="s">
        <v>93</v>
      </c>
      <c r="Q15" s="48" t="s">
        <v>7</v>
      </c>
      <c r="R15" s="48" t="s">
        <v>8</v>
      </c>
      <c r="S15" s="48" t="s">
        <v>91</v>
      </c>
      <c r="T15" s="48" t="s">
        <v>26</v>
      </c>
    </row>
    <row r="16" spans="2:20" x14ac:dyDescent="0.2">
      <c r="B16" s="38" t="s">
        <v>30</v>
      </c>
      <c r="C16" s="38" t="s">
        <v>29</v>
      </c>
      <c r="D16" s="39">
        <f>D8</f>
        <v>2.0799999999999999E-2</v>
      </c>
      <c r="E16" s="38">
        <v>3</v>
      </c>
      <c r="F16" s="38">
        <v>30</v>
      </c>
      <c r="G16" s="38">
        <v>12</v>
      </c>
      <c r="H16" s="38">
        <f>E16*F16*G16</f>
        <v>1080</v>
      </c>
      <c r="I16" s="40">
        <f>D16*H16</f>
        <v>22.463999999999999</v>
      </c>
      <c r="M16" s="38" t="s">
        <v>30</v>
      </c>
      <c r="N16" s="38" t="s">
        <v>29</v>
      </c>
      <c r="O16" s="39">
        <f>O8</f>
        <v>2.0920476190476191E-2</v>
      </c>
      <c r="P16" s="38">
        <v>3</v>
      </c>
      <c r="Q16" s="38">
        <v>30</v>
      </c>
      <c r="R16" s="38">
        <v>12</v>
      </c>
      <c r="S16" s="38">
        <f>P16*Q16*R16</f>
        <v>1080</v>
      </c>
      <c r="T16" s="40">
        <f>O16*S16</f>
        <v>22.594114285714287</v>
      </c>
    </row>
    <row r="17" spans="2:20" x14ac:dyDescent="0.2">
      <c r="B17" s="38" t="s">
        <v>72</v>
      </c>
      <c r="C17" s="38" t="s">
        <v>0</v>
      </c>
      <c r="D17" s="39">
        <f>D10</f>
        <v>0.26429999999999998</v>
      </c>
      <c r="E17" s="38">
        <v>2</v>
      </c>
      <c r="F17" s="38">
        <v>30</v>
      </c>
      <c r="G17" s="38">
        <v>12</v>
      </c>
      <c r="H17" s="38">
        <f>E17*F17*G17</f>
        <v>720</v>
      </c>
      <c r="I17" s="40">
        <f>D17*H17</f>
        <v>190.29599999999999</v>
      </c>
      <c r="M17" s="38" t="s">
        <v>72</v>
      </c>
      <c r="N17" s="38" t="s">
        <v>1</v>
      </c>
      <c r="O17" s="39">
        <f>O10</f>
        <v>0.21953500000000001</v>
      </c>
      <c r="P17" s="38">
        <v>2</v>
      </c>
      <c r="Q17" s="38">
        <v>30</v>
      </c>
      <c r="R17" s="38">
        <v>12</v>
      </c>
      <c r="S17" s="38">
        <f>P17*Q17*R17</f>
        <v>720</v>
      </c>
      <c r="T17" s="40">
        <f>O17*S17</f>
        <v>158.0652</v>
      </c>
    </row>
    <row r="18" spans="2:20" x14ac:dyDescent="0.2">
      <c r="B18" s="38" t="s">
        <v>18</v>
      </c>
      <c r="C18" s="38" t="s">
        <v>0</v>
      </c>
      <c r="D18" s="39">
        <f>D11</f>
        <v>7.9299999999999995E-2</v>
      </c>
      <c r="E18" s="38">
        <v>3</v>
      </c>
      <c r="F18" s="38">
        <v>30</v>
      </c>
      <c r="G18" s="38">
        <v>12</v>
      </c>
      <c r="H18" s="38">
        <f>E18*F18*G18</f>
        <v>1080</v>
      </c>
      <c r="I18" s="40">
        <f>D18*H18</f>
        <v>85.643999999999991</v>
      </c>
      <c r="M18" s="38" t="s">
        <v>18</v>
      </c>
      <c r="N18" s="38" t="s">
        <v>0</v>
      </c>
      <c r="O18" s="39">
        <f>O11</f>
        <v>9.6879999999999994E-2</v>
      </c>
      <c r="P18" s="38">
        <v>3</v>
      </c>
      <c r="Q18" s="38">
        <v>30</v>
      </c>
      <c r="R18" s="38">
        <v>12</v>
      </c>
      <c r="S18" s="38">
        <f>P18*Q18*R18</f>
        <v>1080</v>
      </c>
      <c r="T18" s="40">
        <f>O18*S18</f>
        <v>104.63039999999999</v>
      </c>
    </row>
    <row r="19" spans="2:20" x14ac:dyDescent="0.2">
      <c r="B19" s="38" t="s">
        <v>28</v>
      </c>
      <c r="C19" s="38" t="s">
        <v>0</v>
      </c>
      <c r="D19" s="39">
        <f>D12</f>
        <v>0.25940000000000002</v>
      </c>
      <c r="E19" s="38">
        <v>2</v>
      </c>
      <c r="F19" s="38">
        <v>30</v>
      </c>
      <c r="G19" s="38">
        <v>12</v>
      </c>
      <c r="H19" s="38">
        <f>E19*F19*G19</f>
        <v>720</v>
      </c>
      <c r="I19" s="40">
        <f>D19*H19</f>
        <v>186.768</v>
      </c>
      <c r="M19" s="38" t="s">
        <v>28</v>
      </c>
      <c r="N19" s="38" t="s">
        <v>0</v>
      </c>
      <c r="O19" s="39">
        <f>O12</f>
        <v>0.25190000000000001</v>
      </c>
      <c r="P19" s="38">
        <v>2</v>
      </c>
      <c r="Q19" s="38">
        <v>30</v>
      </c>
      <c r="R19" s="38">
        <v>12</v>
      </c>
      <c r="S19" s="38">
        <f>P19*Q19*R19</f>
        <v>720</v>
      </c>
      <c r="T19" s="40">
        <f>O19*S19</f>
        <v>181.36799999999999</v>
      </c>
    </row>
    <row r="20" spans="2:20" x14ac:dyDescent="0.2">
      <c r="F20" s="43"/>
      <c r="G20" s="44"/>
      <c r="H20" s="45" t="s">
        <v>48</v>
      </c>
      <c r="I20" s="46">
        <f>SUM(I16:I19)</f>
        <v>485.17200000000003</v>
      </c>
      <c r="N20" s="34"/>
      <c r="O20" s="35"/>
      <c r="P20" s="34"/>
      <c r="Q20" s="43"/>
      <c r="R20" s="44"/>
      <c r="S20" s="45" t="s">
        <v>48</v>
      </c>
      <c r="T20" s="46">
        <f>SUM(T16:T19)</f>
        <v>466.65771428571429</v>
      </c>
    </row>
    <row r="21" spans="2:20" ht="13.5" thickBot="1" x14ac:dyDescent="0.25">
      <c r="N21" s="34"/>
      <c r="O21" s="35"/>
      <c r="P21" s="34"/>
      <c r="Q21" s="34"/>
      <c r="R21" s="34"/>
      <c r="S21" s="34"/>
      <c r="T21" s="34"/>
    </row>
    <row r="22" spans="2:20" ht="13.5" thickBot="1" x14ac:dyDescent="0.25">
      <c r="H22" s="50" t="s">
        <v>27</v>
      </c>
      <c r="I22" s="51">
        <f>I13+I20</f>
        <v>1604.6760000000002</v>
      </c>
      <c r="N22" s="34"/>
      <c r="O22" s="35"/>
      <c r="P22" s="34"/>
      <c r="Q22" s="34"/>
      <c r="R22" s="34"/>
      <c r="S22" s="50" t="s">
        <v>27</v>
      </c>
      <c r="T22" s="51">
        <f>T13+T20</f>
        <v>1315.1228571428574</v>
      </c>
    </row>
    <row r="23" spans="2:20" x14ac:dyDescent="0.2">
      <c r="H23" s="50"/>
      <c r="I23" s="52"/>
    </row>
    <row r="24" spans="2:20" ht="15.75" hidden="1" x14ac:dyDescent="0.25">
      <c r="B24" s="123" t="s">
        <v>17</v>
      </c>
      <c r="C24" s="123"/>
      <c r="D24" s="123"/>
      <c r="E24" s="123"/>
      <c r="F24" s="123"/>
      <c r="G24" s="123"/>
      <c r="H24" s="123"/>
      <c r="I24" s="123"/>
    </row>
    <row r="25" spans="2:20" ht="15.75" hidden="1" x14ac:dyDescent="0.25">
      <c r="B25" s="124" t="s">
        <v>24</v>
      </c>
      <c r="C25" s="124"/>
      <c r="D25" s="124"/>
      <c r="E25" s="124"/>
      <c r="F25" s="124"/>
      <c r="G25" s="124"/>
      <c r="H25" s="124"/>
      <c r="I25" s="124"/>
    </row>
    <row r="26" spans="2:20" ht="15.75" hidden="1" x14ac:dyDescent="0.25">
      <c r="B26" s="123" t="s">
        <v>23</v>
      </c>
      <c r="C26" s="123"/>
      <c r="D26" s="123"/>
      <c r="E26" s="123"/>
      <c r="F26" s="123"/>
      <c r="G26" s="123"/>
      <c r="H26" s="123"/>
      <c r="I26" s="123"/>
    </row>
    <row r="27" spans="2:20" hidden="1" x14ac:dyDescent="0.2"/>
    <row r="28" spans="2:20" hidden="1" x14ac:dyDescent="0.2">
      <c r="B28" s="54" t="s">
        <v>2</v>
      </c>
    </row>
    <row r="29" spans="2:20" ht="63.75" hidden="1" x14ac:dyDescent="0.2">
      <c r="B29" s="55" t="s">
        <v>3</v>
      </c>
      <c r="C29" s="55" t="s">
        <v>4</v>
      </c>
      <c r="D29" s="56" t="s">
        <v>5</v>
      </c>
      <c r="E29" s="55" t="s">
        <v>6</v>
      </c>
      <c r="F29" s="55" t="s">
        <v>7</v>
      </c>
      <c r="G29" s="55" t="s">
        <v>8</v>
      </c>
      <c r="H29" s="55" t="s">
        <v>9</v>
      </c>
      <c r="I29" s="55" t="s">
        <v>10</v>
      </c>
    </row>
    <row r="30" spans="2:20" hidden="1" x14ac:dyDescent="0.2">
      <c r="B30" s="38" t="s">
        <v>20</v>
      </c>
      <c r="C30" s="38" t="s">
        <v>21</v>
      </c>
      <c r="D30" s="39" t="e">
        <f>#REF!</f>
        <v>#REF!</v>
      </c>
      <c r="E30" s="38">
        <v>2</v>
      </c>
      <c r="F30" s="38">
        <v>30</v>
      </c>
      <c r="G30" s="38">
        <v>8</v>
      </c>
      <c r="H30" s="38">
        <f>E30*F30*G30</f>
        <v>480</v>
      </c>
      <c r="I30" s="40" t="e">
        <f>D30*H30</f>
        <v>#REF!</v>
      </c>
    </row>
    <row r="31" spans="2:20" hidden="1" x14ac:dyDescent="0.2">
      <c r="B31" s="38" t="s">
        <v>18</v>
      </c>
      <c r="C31" s="38" t="s">
        <v>0</v>
      </c>
      <c r="D31" s="39" t="e">
        <f>#REF!</f>
        <v>#REF!</v>
      </c>
      <c r="E31" s="38">
        <v>3</v>
      </c>
      <c r="F31" s="38">
        <v>30</v>
      </c>
      <c r="G31" s="38">
        <v>8</v>
      </c>
      <c r="H31" s="38">
        <f>E31*F31*G31</f>
        <v>720</v>
      </c>
      <c r="I31" s="40" t="e">
        <f>D31*H31</f>
        <v>#REF!</v>
      </c>
    </row>
    <row r="32" spans="2:20" hidden="1" x14ac:dyDescent="0.2">
      <c r="B32" s="38" t="s">
        <v>12</v>
      </c>
      <c r="C32" s="38" t="s">
        <v>0</v>
      </c>
      <c r="D32" s="39" t="e">
        <f>#REF!</f>
        <v>#REF!</v>
      </c>
      <c r="E32" s="38">
        <v>3</v>
      </c>
      <c r="F32" s="38">
        <v>30</v>
      </c>
      <c r="G32" s="38">
        <v>8</v>
      </c>
      <c r="H32" s="38">
        <f>E32*F32*G32</f>
        <v>720</v>
      </c>
      <c r="I32" s="40" t="e">
        <f>D32*H32</f>
        <v>#REF!</v>
      </c>
    </row>
    <row r="33" spans="2:13" hidden="1" x14ac:dyDescent="0.2">
      <c r="B33" s="38" t="s">
        <v>13</v>
      </c>
      <c r="C33" s="38" t="s">
        <v>0</v>
      </c>
      <c r="D33" s="39" t="e">
        <f>#REF!</f>
        <v>#REF!</v>
      </c>
      <c r="E33" s="38">
        <v>3</v>
      </c>
      <c r="F33" s="38">
        <v>30</v>
      </c>
      <c r="G33" s="38">
        <v>8</v>
      </c>
      <c r="H33" s="38">
        <f>E33*F33*G33</f>
        <v>720</v>
      </c>
      <c r="I33" s="40" t="e">
        <f>D33*H33</f>
        <v>#REF!</v>
      </c>
    </row>
    <row r="34" spans="2:13" hidden="1" x14ac:dyDescent="0.2">
      <c r="F34" s="43"/>
      <c r="G34" s="44"/>
      <c r="H34" s="45" t="s">
        <v>14</v>
      </c>
      <c r="I34" s="46" t="e">
        <f>SUM(I30:I33)</f>
        <v>#REF!</v>
      </c>
    </row>
    <row r="35" spans="2:13" hidden="1" x14ac:dyDescent="0.2">
      <c r="B35" s="54" t="s">
        <v>15</v>
      </c>
    </row>
    <row r="36" spans="2:13" ht="63.75" hidden="1" x14ac:dyDescent="0.2">
      <c r="B36" s="55" t="s">
        <v>3</v>
      </c>
      <c r="C36" s="55" t="s">
        <v>4</v>
      </c>
      <c r="D36" s="56" t="s">
        <v>5</v>
      </c>
      <c r="E36" s="55" t="s">
        <v>6</v>
      </c>
      <c r="F36" s="55" t="s">
        <v>7</v>
      </c>
      <c r="G36" s="55" t="s">
        <v>8</v>
      </c>
      <c r="H36" s="55" t="s">
        <v>9</v>
      </c>
      <c r="I36" s="55" t="s">
        <v>10</v>
      </c>
    </row>
    <row r="37" spans="2:13" hidden="1" x14ac:dyDescent="0.2">
      <c r="B37" s="38" t="s">
        <v>18</v>
      </c>
      <c r="C37" s="38" t="s">
        <v>0</v>
      </c>
      <c r="D37" s="39" t="e">
        <f>#REF!</f>
        <v>#REF!</v>
      </c>
      <c r="E37" s="38">
        <v>3</v>
      </c>
      <c r="F37" s="38">
        <v>30</v>
      </c>
      <c r="G37" s="38">
        <v>16</v>
      </c>
      <c r="H37" s="38">
        <f>E37*F37*G37</f>
        <v>1440</v>
      </c>
      <c r="I37" s="40" t="e">
        <f>D37*H37</f>
        <v>#REF!</v>
      </c>
    </row>
    <row r="38" spans="2:13" hidden="1" x14ac:dyDescent="0.2">
      <c r="B38" s="38" t="s">
        <v>12</v>
      </c>
      <c r="C38" s="38" t="s">
        <v>0</v>
      </c>
      <c r="D38" s="39" t="e">
        <f>#REF!</f>
        <v>#REF!</v>
      </c>
      <c r="E38" s="38">
        <v>3</v>
      </c>
      <c r="F38" s="38">
        <v>30</v>
      </c>
      <c r="G38" s="38">
        <v>16</v>
      </c>
      <c r="H38" s="38">
        <f>E38*F38*G38</f>
        <v>1440</v>
      </c>
      <c r="I38" s="40" t="e">
        <f>D38*H38</f>
        <v>#REF!</v>
      </c>
    </row>
    <row r="39" spans="2:13" hidden="1" x14ac:dyDescent="0.2">
      <c r="B39" s="38" t="s">
        <v>19</v>
      </c>
      <c r="C39" s="38" t="s">
        <v>0</v>
      </c>
      <c r="D39" s="39" t="e">
        <f>#REF!</f>
        <v>#REF!</v>
      </c>
      <c r="E39" s="38">
        <v>3</v>
      </c>
      <c r="F39" s="38">
        <v>30</v>
      </c>
      <c r="G39" s="38">
        <v>16</v>
      </c>
      <c r="H39" s="38">
        <f>E39*F39*G39</f>
        <v>1440</v>
      </c>
      <c r="I39" s="40" t="e">
        <f>D39*H39</f>
        <v>#REF!</v>
      </c>
    </row>
    <row r="40" spans="2:13" hidden="1" x14ac:dyDescent="0.2">
      <c r="F40" s="43"/>
      <c r="G40" s="44"/>
      <c r="H40" s="45" t="s">
        <v>14</v>
      </c>
      <c r="I40" s="46" t="e">
        <f>SUM(I37:I39)</f>
        <v>#REF!</v>
      </c>
    </row>
    <row r="41" spans="2:13" hidden="1" x14ac:dyDescent="0.2"/>
    <row r="42" spans="2:13" ht="19.5" hidden="1" thickBot="1" x14ac:dyDescent="0.35">
      <c r="H42" s="50" t="s">
        <v>16</v>
      </c>
      <c r="I42" s="51" t="e">
        <f>I34+I40</f>
        <v>#REF!</v>
      </c>
      <c r="M42" s="57"/>
    </row>
    <row r="43" spans="2:13" hidden="1" x14ac:dyDescent="0.2"/>
    <row r="44" spans="2:13" ht="116.25" hidden="1" customHeight="1" thickBot="1" x14ac:dyDescent="0.25">
      <c r="B44" s="125" t="s">
        <v>22</v>
      </c>
      <c r="C44" s="126"/>
      <c r="D44" s="126"/>
      <c r="E44" s="126"/>
      <c r="F44" s="126"/>
      <c r="G44" s="126"/>
      <c r="H44" s="126"/>
      <c r="I44" s="126"/>
    </row>
    <row r="49" spans="12:16" x14ac:dyDescent="0.2">
      <c r="L49"/>
      <c r="M49"/>
      <c r="N49"/>
      <c r="O49"/>
      <c r="P49"/>
    </row>
    <row r="50" spans="12:16" x14ac:dyDescent="0.2">
      <c r="L50"/>
      <c r="M50"/>
      <c r="N50"/>
      <c r="O50"/>
      <c r="P50"/>
    </row>
    <row r="51" spans="12:16" x14ac:dyDescent="0.2">
      <c r="L51"/>
      <c r="M51" s="1"/>
      <c r="N51" s="1"/>
      <c r="O51"/>
      <c r="P51"/>
    </row>
    <row r="52" spans="12:16" x14ac:dyDescent="0.2">
      <c r="L52"/>
      <c r="M52" s="1"/>
      <c r="N52" s="1"/>
      <c r="O52"/>
      <c r="P52"/>
    </row>
    <row r="53" spans="12:16" x14ac:dyDescent="0.2">
      <c r="L53"/>
      <c r="M53"/>
      <c r="N53"/>
      <c r="O53"/>
      <c r="P53"/>
    </row>
    <row r="54" spans="12:16" x14ac:dyDescent="0.2">
      <c r="L54"/>
      <c r="M54"/>
      <c r="N54"/>
      <c r="O54"/>
      <c r="P54"/>
    </row>
    <row r="55" spans="12:16" x14ac:dyDescent="0.2">
      <c r="L55"/>
      <c r="M55"/>
      <c r="N55"/>
      <c r="O55"/>
      <c r="P55"/>
    </row>
    <row r="56" spans="12:16" x14ac:dyDescent="0.2">
      <c r="L56"/>
      <c r="M56"/>
      <c r="N56"/>
      <c r="O56"/>
      <c r="P56"/>
    </row>
  </sheetData>
  <mergeCells count="10">
    <mergeCell ref="B24:I24"/>
    <mergeCell ref="B25:I25"/>
    <mergeCell ref="B26:I26"/>
    <mergeCell ref="B44:I44"/>
    <mergeCell ref="B2:I2"/>
    <mergeCell ref="M2:T2"/>
    <mergeCell ref="B3:I3"/>
    <mergeCell ref="M3:T3"/>
    <mergeCell ref="B4:I4"/>
    <mergeCell ref="M4:T4"/>
  </mergeCells>
  <pageMargins left="0.75" right="0.75" top="1" bottom="1" header="0.5" footer="0.5"/>
  <pageSetup paperSize="9" orientation="portrait" r:id="rId1"/>
  <headerFooter alignWithMargins="0"/>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9A507-D616-4A88-9B09-B31E08699BEF}">
  <sheetPr>
    <tabColor rgb="FFFF0000"/>
  </sheetPr>
  <dimension ref="B2:T44"/>
  <sheetViews>
    <sheetView showGridLines="0" zoomScaleNormal="100" workbookViewId="0">
      <selection activeCell="B4" sqref="B4:I4"/>
    </sheetView>
  </sheetViews>
  <sheetFormatPr defaultRowHeight="12.75" x14ac:dyDescent="0.2"/>
  <cols>
    <col min="1" max="1" width="9.140625" style="34"/>
    <col min="2" max="2" width="16.28515625" style="34" bestFit="1" customWidth="1"/>
    <col min="3" max="3" width="9" style="34" customWidth="1"/>
    <col min="4" max="4" width="9.5703125" style="35" customWidth="1"/>
    <col min="5" max="6" width="8.85546875" style="34" bestFit="1" customWidth="1"/>
    <col min="7" max="7" width="7.5703125" style="34" customWidth="1"/>
    <col min="8" max="8" width="14.42578125" style="34" customWidth="1"/>
    <col min="9" max="9" width="12.28515625" style="34" customWidth="1"/>
    <col min="10" max="10" width="9.140625" style="31"/>
    <col min="11" max="11" width="9.140625" style="32"/>
    <col min="12" max="12" width="9.140625" style="31"/>
    <col min="13" max="13" width="16.7109375" style="34" bestFit="1" customWidth="1"/>
    <col min="14" max="14" width="9.140625" style="31"/>
    <col min="15" max="15" width="9.140625" style="53"/>
    <col min="16" max="18" width="9.140625" style="31"/>
    <col min="19" max="19" width="18.5703125" style="31" customWidth="1"/>
    <col min="20" max="20" width="9.140625" style="31"/>
    <col min="21" max="16384" width="9.140625" style="34"/>
  </cols>
  <sheetData>
    <row r="2" spans="2:20" ht="15.75" x14ac:dyDescent="0.25">
      <c r="B2" s="123">
        <v>2018</v>
      </c>
      <c r="C2" s="123"/>
      <c r="D2" s="123"/>
      <c r="E2" s="123"/>
      <c r="F2" s="123"/>
      <c r="G2" s="123"/>
      <c r="H2" s="123"/>
      <c r="I2" s="123"/>
      <c r="M2" s="123">
        <v>2019</v>
      </c>
      <c r="N2" s="123"/>
      <c r="O2" s="123"/>
      <c r="P2" s="123"/>
      <c r="Q2" s="123"/>
      <c r="R2" s="123"/>
      <c r="S2" s="123"/>
      <c r="T2" s="123"/>
    </row>
    <row r="3" spans="2:20" ht="15.75" customHeight="1" x14ac:dyDescent="0.25">
      <c r="B3" s="123" t="s">
        <v>50</v>
      </c>
      <c r="C3" s="123"/>
      <c r="D3" s="123"/>
      <c r="E3" s="123"/>
      <c r="F3" s="123"/>
      <c r="G3" s="123"/>
      <c r="H3" s="123"/>
      <c r="I3" s="123"/>
      <c r="M3" s="123" t="s">
        <v>50</v>
      </c>
      <c r="N3" s="123"/>
      <c r="O3" s="123"/>
      <c r="P3" s="123"/>
      <c r="Q3" s="123"/>
      <c r="R3" s="123"/>
      <c r="S3" s="123"/>
      <c r="T3" s="123"/>
    </row>
    <row r="4" spans="2:20" ht="15.75" x14ac:dyDescent="0.25">
      <c r="B4" s="123" t="s">
        <v>63</v>
      </c>
      <c r="C4" s="123"/>
      <c r="D4" s="123"/>
      <c r="E4" s="123"/>
      <c r="F4" s="123"/>
      <c r="G4" s="123"/>
      <c r="H4" s="123"/>
      <c r="I4" s="123"/>
      <c r="M4" s="123" t="s">
        <v>63</v>
      </c>
      <c r="N4" s="123"/>
      <c r="O4" s="123"/>
      <c r="P4" s="123"/>
      <c r="Q4" s="123"/>
      <c r="R4" s="123"/>
      <c r="S4" s="123"/>
      <c r="T4" s="123"/>
    </row>
    <row r="5" spans="2:20" x14ac:dyDescent="0.2">
      <c r="N5" s="34"/>
      <c r="O5" s="35"/>
      <c r="P5" s="34"/>
      <c r="Q5" s="34"/>
      <c r="R5" s="34"/>
      <c r="S5" s="34"/>
      <c r="T5" s="34"/>
    </row>
    <row r="6" spans="2:20" x14ac:dyDescent="0.2">
      <c r="B6" s="33" t="s">
        <v>2</v>
      </c>
      <c r="M6" s="33" t="s">
        <v>2</v>
      </c>
      <c r="N6" s="34"/>
      <c r="O6" s="35"/>
      <c r="P6" s="34"/>
      <c r="Q6" s="34"/>
      <c r="R6" s="34"/>
      <c r="S6" s="34"/>
      <c r="T6" s="34"/>
    </row>
    <row r="7" spans="2:20" ht="51" x14ac:dyDescent="0.2">
      <c r="B7" s="36" t="s">
        <v>3</v>
      </c>
      <c r="C7" s="36" t="s">
        <v>4</v>
      </c>
      <c r="D7" s="37" t="s">
        <v>89</v>
      </c>
      <c r="E7" s="36" t="s">
        <v>90</v>
      </c>
      <c r="F7" s="36" t="s">
        <v>7</v>
      </c>
      <c r="G7" s="36" t="s">
        <v>8</v>
      </c>
      <c r="H7" s="36" t="s">
        <v>91</v>
      </c>
      <c r="I7" s="36" t="s">
        <v>10</v>
      </c>
      <c r="M7" s="36" t="s">
        <v>3</v>
      </c>
      <c r="N7" s="36" t="s">
        <v>4</v>
      </c>
      <c r="O7" s="37" t="s">
        <v>92</v>
      </c>
      <c r="P7" s="36" t="s">
        <v>93</v>
      </c>
      <c r="Q7" s="36" t="s">
        <v>7</v>
      </c>
      <c r="R7" s="36" t="s">
        <v>8</v>
      </c>
      <c r="S7" s="36" t="s">
        <v>91</v>
      </c>
      <c r="T7" s="36" t="s">
        <v>10</v>
      </c>
    </row>
    <row r="8" spans="2:20" x14ac:dyDescent="0.2">
      <c r="B8" s="38" t="s">
        <v>30</v>
      </c>
      <c r="C8" s="38" t="s">
        <v>29</v>
      </c>
      <c r="D8" s="39">
        <v>2.0799999999999999E-2</v>
      </c>
      <c r="E8" s="38">
        <v>3</v>
      </c>
      <c r="F8" s="38">
        <v>30</v>
      </c>
      <c r="G8" s="38">
        <v>8</v>
      </c>
      <c r="H8" s="38">
        <f>E8*F8*G8</f>
        <v>720</v>
      </c>
      <c r="I8" s="40">
        <f>D8*H8</f>
        <v>14.975999999999999</v>
      </c>
      <c r="M8" s="38" t="s">
        <v>30</v>
      </c>
      <c r="N8" s="38" t="s">
        <v>29</v>
      </c>
      <c r="O8" s="41">
        <v>2.0920476190476191E-2</v>
      </c>
      <c r="P8" s="38">
        <v>3</v>
      </c>
      <c r="Q8" s="38">
        <v>30</v>
      </c>
      <c r="R8" s="38">
        <v>8</v>
      </c>
      <c r="S8" s="38">
        <f>P8*Q8*R8</f>
        <v>720</v>
      </c>
      <c r="T8" s="40">
        <f>O8*S8</f>
        <v>15.062742857142858</v>
      </c>
    </row>
    <row r="9" spans="2:20" x14ac:dyDescent="0.2">
      <c r="B9" s="38" t="s">
        <v>78</v>
      </c>
      <c r="C9" s="38" t="s">
        <v>11</v>
      </c>
      <c r="D9" s="39">
        <v>3.3169</v>
      </c>
      <c r="E9" s="38">
        <v>1</v>
      </c>
      <c r="F9" s="38">
        <v>30</v>
      </c>
      <c r="G9" s="38">
        <v>8</v>
      </c>
      <c r="H9" s="38">
        <f>E9*F9*G9</f>
        <v>240</v>
      </c>
      <c r="I9" s="40">
        <f>D9*H9</f>
        <v>796.05600000000004</v>
      </c>
      <c r="M9" s="38" t="s">
        <v>78</v>
      </c>
      <c r="N9" s="38" t="s">
        <v>11</v>
      </c>
      <c r="O9" s="31">
        <v>2.2389999999999999</v>
      </c>
      <c r="P9" s="38">
        <v>1</v>
      </c>
      <c r="Q9" s="38">
        <v>30</v>
      </c>
      <c r="R9" s="38">
        <v>8</v>
      </c>
      <c r="S9" s="38">
        <f>P9*Q9*R9</f>
        <v>240</v>
      </c>
      <c r="T9" s="40">
        <f>O9*S9</f>
        <v>537.36</v>
      </c>
    </row>
    <row r="10" spans="2:20" x14ac:dyDescent="0.2">
      <c r="B10" s="38" t="s">
        <v>13</v>
      </c>
      <c r="C10" s="38" t="s">
        <v>0</v>
      </c>
      <c r="D10" s="39">
        <v>2.734E-2</v>
      </c>
      <c r="E10" s="38">
        <v>4</v>
      </c>
      <c r="F10" s="38">
        <v>30</v>
      </c>
      <c r="G10" s="38">
        <v>8</v>
      </c>
      <c r="H10" s="38">
        <f>E10*F10*G10</f>
        <v>960</v>
      </c>
      <c r="I10" s="40">
        <f>D10*H10</f>
        <v>26.246400000000001</v>
      </c>
      <c r="M10" s="38" t="s">
        <v>13</v>
      </c>
      <c r="N10" s="38" t="s">
        <v>0</v>
      </c>
      <c r="O10" s="41">
        <v>2.8150000000000001E-2</v>
      </c>
      <c r="P10" s="38">
        <v>4</v>
      </c>
      <c r="Q10" s="38">
        <v>30</v>
      </c>
      <c r="R10" s="38">
        <v>8</v>
      </c>
      <c r="S10" s="38">
        <f>P10*Q10*R10</f>
        <v>960</v>
      </c>
      <c r="T10" s="40">
        <f>O10*S10</f>
        <v>27.024000000000001</v>
      </c>
    </row>
    <row r="11" spans="2:20" x14ac:dyDescent="0.2">
      <c r="B11" s="38" t="s">
        <v>18</v>
      </c>
      <c r="C11" s="38" t="s">
        <v>0</v>
      </c>
      <c r="D11" s="39">
        <v>7.9299999999999995E-2</v>
      </c>
      <c r="E11" s="38">
        <v>3</v>
      </c>
      <c r="F11" s="38">
        <v>30</v>
      </c>
      <c r="G11" s="38">
        <v>8</v>
      </c>
      <c r="H11" s="38">
        <f>E11*F11*G11</f>
        <v>720</v>
      </c>
      <c r="I11" s="40">
        <f>D11*H11</f>
        <v>57.095999999999997</v>
      </c>
      <c r="M11" s="38" t="s">
        <v>18</v>
      </c>
      <c r="N11" s="38" t="s">
        <v>0</v>
      </c>
      <c r="O11" s="41">
        <v>9.6879999999999994E-2</v>
      </c>
      <c r="P11" s="38">
        <v>3</v>
      </c>
      <c r="Q11" s="38">
        <v>30</v>
      </c>
      <c r="R11" s="38">
        <v>8</v>
      </c>
      <c r="S11" s="38">
        <f>P11*Q11*R11</f>
        <v>720</v>
      </c>
      <c r="T11" s="40">
        <f>O11*S11</f>
        <v>69.753599999999992</v>
      </c>
    </row>
    <row r="12" spans="2:20" x14ac:dyDescent="0.2">
      <c r="B12" s="38" t="s">
        <v>28</v>
      </c>
      <c r="C12" s="38" t="s">
        <v>0</v>
      </c>
      <c r="D12" s="39">
        <v>0.25940000000000002</v>
      </c>
      <c r="E12" s="38">
        <v>2</v>
      </c>
      <c r="F12" s="42">
        <v>30</v>
      </c>
      <c r="G12" s="42">
        <v>8</v>
      </c>
      <c r="H12" s="42">
        <f>E12*F12*G12</f>
        <v>480</v>
      </c>
      <c r="I12" s="40">
        <f>D12*H12</f>
        <v>124.51200000000001</v>
      </c>
      <c r="M12" s="38" t="s">
        <v>28</v>
      </c>
      <c r="N12" s="38" t="s">
        <v>0</v>
      </c>
      <c r="O12" s="41">
        <v>0.25190000000000001</v>
      </c>
      <c r="P12" s="38">
        <v>2</v>
      </c>
      <c r="Q12" s="38">
        <v>30</v>
      </c>
      <c r="R12" s="38">
        <v>8</v>
      </c>
      <c r="S12" s="38">
        <f>P12*Q12*R12</f>
        <v>480</v>
      </c>
      <c r="T12" s="40">
        <f>O12*S12</f>
        <v>120.91200000000001</v>
      </c>
    </row>
    <row r="13" spans="2:20" x14ac:dyDescent="0.2">
      <c r="F13" s="43"/>
      <c r="G13" s="44"/>
      <c r="H13" s="45" t="s">
        <v>14</v>
      </c>
      <c r="I13" s="46">
        <f>SUM(I8:I12)</f>
        <v>1018.8864000000001</v>
      </c>
      <c r="N13" s="34"/>
      <c r="O13" s="35"/>
      <c r="P13" s="34"/>
      <c r="Q13" s="43"/>
      <c r="R13" s="44"/>
      <c r="S13" s="45" t="s">
        <v>14</v>
      </c>
      <c r="T13" s="46">
        <f>SUM(T8:T12)</f>
        <v>770.11234285714295</v>
      </c>
    </row>
    <row r="14" spans="2:20" x14ac:dyDescent="0.2">
      <c r="B14" s="47" t="s">
        <v>15</v>
      </c>
      <c r="M14" s="47" t="s">
        <v>15</v>
      </c>
      <c r="N14" s="34"/>
      <c r="O14" s="35"/>
      <c r="P14" s="34"/>
      <c r="Q14" s="34"/>
      <c r="R14" s="34"/>
      <c r="S14" s="34"/>
      <c r="T14" s="34"/>
    </row>
    <row r="15" spans="2:20" ht="51" x14ac:dyDescent="0.2">
      <c r="B15" s="48" t="s">
        <v>3</v>
      </c>
      <c r="C15" s="48" t="s">
        <v>4</v>
      </c>
      <c r="D15" s="49" t="s">
        <v>89</v>
      </c>
      <c r="E15" s="48" t="s">
        <v>90</v>
      </c>
      <c r="F15" s="48" t="s">
        <v>7</v>
      </c>
      <c r="G15" s="48" t="s">
        <v>8</v>
      </c>
      <c r="H15" s="48" t="s">
        <v>91</v>
      </c>
      <c r="I15" s="48" t="s">
        <v>26</v>
      </c>
      <c r="M15" s="48" t="s">
        <v>3</v>
      </c>
      <c r="N15" s="48" t="s">
        <v>4</v>
      </c>
      <c r="O15" s="49" t="s">
        <v>92</v>
      </c>
      <c r="P15" s="48" t="s">
        <v>93</v>
      </c>
      <c r="Q15" s="48" t="s">
        <v>7</v>
      </c>
      <c r="R15" s="48" t="s">
        <v>8</v>
      </c>
      <c r="S15" s="48" t="s">
        <v>91</v>
      </c>
      <c r="T15" s="48" t="s">
        <v>26</v>
      </c>
    </row>
    <row r="16" spans="2:20" x14ac:dyDescent="0.2">
      <c r="B16" s="38" t="s">
        <v>30</v>
      </c>
      <c r="C16" s="38" t="s">
        <v>29</v>
      </c>
      <c r="D16" s="39">
        <f>D8</f>
        <v>2.0799999999999999E-2</v>
      </c>
      <c r="E16" s="38">
        <v>3</v>
      </c>
      <c r="F16" s="38">
        <v>30</v>
      </c>
      <c r="G16" s="38">
        <v>12</v>
      </c>
      <c r="H16" s="38">
        <f>E16*F16*G16</f>
        <v>1080</v>
      </c>
      <c r="I16" s="40">
        <f>D16*H16</f>
        <v>22.463999999999999</v>
      </c>
      <c r="M16" s="38" t="s">
        <v>30</v>
      </c>
      <c r="N16" s="38" t="s">
        <v>29</v>
      </c>
      <c r="O16" s="39">
        <f>O8</f>
        <v>2.0920476190476191E-2</v>
      </c>
      <c r="P16" s="38">
        <v>3</v>
      </c>
      <c r="Q16" s="38">
        <v>30</v>
      </c>
      <c r="R16" s="38">
        <v>12</v>
      </c>
      <c r="S16" s="38">
        <f>P16*Q16*R16</f>
        <v>1080</v>
      </c>
      <c r="T16" s="40">
        <f>O16*S16</f>
        <v>22.594114285714287</v>
      </c>
    </row>
    <row r="17" spans="2:20" x14ac:dyDescent="0.2">
      <c r="B17" s="38" t="s">
        <v>13</v>
      </c>
      <c r="C17" s="38" t="s">
        <v>0</v>
      </c>
      <c r="D17" s="39">
        <f>D10</f>
        <v>2.734E-2</v>
      </c>
      <c r="E17" s="38">
        <v>4</v>
      </c>
      <c r="F17" s="38">
        <v>30</v>
      </c>
      <c r="G17" s="38">
        <v>12</v>
      </c>
      <c r="H17" s="38">
        <f>E17*F17*G17</f>
        <v>1440</v>
      </c>
      <c r="I17" s="40">
        <f>D17*H17</f>
        <v>39.369599999999998</v>
      </c>
      <c r="M17" s="38" t="s">
        <v>13</v>
      </c>
      <c r="N17" s="38" t="s">
        <v>0</v>
      </c>
      <c r="O17" s="39">
        <f>O10</f>
        <v>2.8150000000000001E-2</v>
      </c>
      <c r="P17" s="38">
        <v>4</v>
      </c>
      <c r="Q17" s="38">
        <v>30</v>
      </c>
      <c r="R17" s="38">
        <v>12</v>
      </c>
      <c r="S17" s="38">
        <f>P17*Q17*R17</f>
        <v>1440</v>
      </c>
      <c r="T17" s="40">
        <f>O17*S17</f>
        <v>40.536000000000001</v>
      </c>
    </row>
    <row r="18" spans="2:20" x14ac:dyDescent="0.2">
      <c r="B18" s="38" t="s">
        <v>18</v>
      </c>
      <c r="C18" s="38" t="s">
        <v>0</v>
      </c>
      <c r="D18" s="39">
        <f>D11</f>
        <v>7.9299999999999995E-2</v>
      </c>
      <c r="E18" s="38">
        <v>3</v>
      </c>
      <c r="F18" s="38">
        <v>30</v>
      </c>
      <c r="G18" s="38">
        <v>12</v>
      </c>
      <c r="H18" s="38">
        <f>E18*F18*G18</f>
        <v>1080</v>
      </c>
      <c r="I18" s="40">
        <f>D18*H18</f>
        <v>85.643999999999991</v>
      </c>
      <c r="M18" s="38" t="s">
        <v>18</v>
      </c>
      <c r="N18" s="38" t="s">
        <v>0</v>
      </c>
      <c r="O18" s="39">
        <f>O11</f>
        <v>9.6879999999999994E-2</v>
      </c>
      <c r="P18" s="38">
        <v>3</v>
      </c>
      <c r="Q18" s="38">
        <v>30</v>
      </c>
      <c r="R18" s="38">
        <v>12</v>
      </c>
      <c r="S18" s="38">
        <f>P18*Q18*R18</f>
        <v>1080</v>
      </c>
      <c r="T18" s="40">
        <f>O18*S18</f>
        <v>104.63039999999999</v>
      </c>
    </row>
    <row r="19" spans="2:20" x14ac:dyDescent="0.2">
      <c r="B19" s="38" t="s">
        <v>28</v>
      </c>
      <c r="C19" s="38" t="s">
        <v>0</v>
      </c>
      <c r="D19" s="39">
        <f>D12</f>
        <v>0.25940000000000002</v>
      </c>
      <c r="E19" s="38">
        <v>2</v>
      </c>
      <c r="F19" s="38">
        <v>30</v>
      </c>
      <c r="G19" s="38">
        <v>12</v>
      </c>
      <c r="H19" s="38">
        <f>E19*F19*G19</f>
        <v>720</v>
      </c>
      <c r="I19" s="40">
        <f>D19*H19</f>
        <v>186.768</v>
      </c>
      <c r="M19" s="38" t="s">
        <v>28</v>
      </c>
      <c r="N19" s="38" t="s">
        <v>0</v>
      </c>
      <c r="O19" s="39">
        <f>O12</f>
        <v>0.25190000000000001</v>
      </c>
      <c r="P19" s="38">
        <v>2</v>
      </c>
      <c r="Q19" s="38">
        <v>30</v>
      </c>
      <c r="R19" s="38">
        <v>12</v>
      </c>
      <c r="S19" s="38">
        <f>P19*Q19*R19</f>
        <v>720</v>
      </c>
      <c r="T19" s="40">
        <f>O19*S19</f>
        <v>181.36799999999999</v>
      </c>
    </row>
    <row r="20" spans="2:20" x14ac:dyDescent="0.2">
      <c r="F20" s="43"/>
      <c r="G20" s="44"/>
      <c r="H20" s="45" t="s">
        <v>48</v>
      </c>
      <c r="I20" s="46">
        <f>SUM(I16:I19)</f>
        <v>334.24559999999997</v>
      </c>
      <c r="N20" s="34"/>
      <c r="O20" s="35"/>
      <c r="P20" s="34"/>
      <c r="Q20" s="43"/>
      <c r="R20" s="44"/>
      <c r="S20" s="45" t="s">
        <v>48</v>
      </c>
      <c r="T20" s="46">
        <f>SUM(T16:T19)</f>
        <v>349.12851428571429</v>
      </c>
    </row>
    <row r="21" spans="2:20" ht="13.5" thickBot="1" x14ac:dyDescent="0.25">
      <c r="N21" s="34"/>
      <c r="O21" s="35"/>
      <c r="P21" s="34"/>
      <c r="Q21" s="34"/>
      <c r="R21" s="34"/>
      <c r="S21" s="34"/>
      <c r="T21" s="34"/>
    </row>
    <row r="22" spans="2:20" ht="13.5" thickBot="1" x14ac:dyDescent="0.25">
      <c r="H22" s="50" t="s">
        <v>27</v>
      </c>
      <c r="I22" s="51">
        <f>I13+I20</f>
        <v>1353.1320000000001</v>
      </c>
      <c r="N22" s="34"/>
      <c r="O22" s="35"/>
      <c r="P22" s="34"/>
      <c r="Q22" s="34"/>
      <c r="R22" s="34"/>
      <c r="S22" s="50" t="s">
        <v>27</v>
      </c>
      <c r="T22" s="51">
        <f>T13+T20</f>
        <v>1119.2408571428573</v>
      </c>
    </row>
    <row r="23" spans="2:20" x14ac:dyDescent="0.2">
      <c r="H23" s="50"/>
      <c r="I23" s="52"/>
    </row>
    <row r="24" spans="2:20" ht="15.75" hidden="1" x14ac:dyDescent="0.25">
      <c r="B24" s="123" t="s">
        <v>17</v>
      </c>
      <c r="C24" s="123"/>
      <c r="D24" s="123"/>
      <c r="E24" s="123"/>
      <c r="F24" s="123"/>
      <c r="G24" s="123"/>
      <c r="H24" s="123"/>
      <c r="I24" s="123"/>
    </row>
    <row r="25" spans="2:20" ht="15.75" hidden="1" x14ac:dyDescent="0.25">
      <c r="B25" s="124" t="s">
        <v>24</v>
      </c>
      <c r="C25" s="124"/>
      <c r="D25" s="124"/>
      <c r="E25" s="124"/>
      <c r="F25" s="124"/>
      <c r="G25" s="124"/>
      <c r="H25" s="124"/>
      <c r="I25" s="124"/>
    </row>
    <row r="26" spans="2:20" ht="15.75" hidden="1" x14ac:dyDescent="0.25">
      <c r="B26" s="123" t="s">
        <v>23</v>
      </c>
      <c r="C26" s="123"/>
      <c r="D26" s="123"/>
      <c r="E26" s="123"/>
      <c r="F26" s="123"/>
      <c r="G26" s="123"/>
      <c r="H26" s="123"/>
      <c r="I26" s="123"/>
    </row>
    <row r="27" spans="2:20" hidden="1" x14ac:dyDescent="0.2"/>
    <row r="28" spans="2:20" hidden="1" x14ac:dyDescent="0.2">
      <c r="B28" s="54" t="s">
        <v>2</v>
      </c>
    </row>
    <row r="29" spans="2:20" ht="63.75" hidden="1" x14ac:dyDescent="0.2">
      <c r="B29" s="55" t="s">
        <v>3</v>
      </c>
      <c r="C29" s="55" t="s">
        <v>4</v>
      </c>
      <c r="D29" s="56" t="s">
        <v>5</v>
      </c>
      <c r="E29" s="55" t="s">
        <v>6</v>
      </c>
      <c r="F29" s="55" t="s">
        <v>7</v>
      </c>
      <c r="G29" s="55" t="s">
        <v>8</v>
      </c>
      <c r="H29" s="55" t="s">
        <v>9</v>
      </c>
      <c r="I29" s="55" t="s">
        <v>10</v>
      </c>
    </row>
    <row r="30" spans="2:20" hidden="1" x14ac:dyDescent="0.2">
      <c r="B30" s="38" t="s">
        <v>20</v>
      </c>
      <c r="C30" s="38" t="s">
        <v>21</v>
      </c>
      <c r="D30" s="39" t="e">
        <f>#REF!</f>
        <v>#REF!</v>
      </c>
      <c r="E30" s="38">
        <v>2</v>
      </c>
      <c r="F30" s="38">
        <v>30</v>
      </c>
      <c r="G30" s="38">
        <v>8</v>
      </c>
      <c r="H30" s="38">
        <f>E30*F30*G30</f>
        <v>480</v>
      </c>
      <c r="I30" s="40" t="e">
        <f>D30*H30</f>
        <v>#REF!</v>
      </c>
    </row>
    <row r="31" spans="2:20" hidden="1" x14ac:dyDescent="0.2">
      <c r="B31" s="38" t="s">
        <v>18</v>
      </c>
      <c r="C31" s="38" t="s">
        <v>0</v>
      </c>
      <c r="D31" s="39" t="e">
        <f>#REF!</f>
        <v>#REF!</v>
      </c>
      <c r="E31" s="38">
        <v>3</v>
      </c>
      <c r="F31" s="38">
        <v>30</v>
      </c>
      <c r="G31" s="38">
        <v>8</v>
      </c>
      <c r="H31" s="38">
        <f>E31*F31*G31</f>
        <v>720</v>
      </c>
      <c r="I31" s="40" t="e">
        <f>D31*H31</f>
        <v>#REF!</v>
      </c>
    </row>
    <row r="32" spans="2:20" hidden="1" x14ac:dyDescent="0.2">
      <c r="B32" s="38" t="s">
        <v>12</v>
      </c>
      <c r="C32" s="38" t="s">
        <v>0</v>
      </c>
      <c r="D32" s="39" t="e">
        <f>#REF!</f>
        <v>#REF!</v>
      </c>
      <c r="E32" s="38">
        <v>3</v>
      </c>
      <c r="F32" s="38">
        <v>30</v>
      </c>
      <c r="G32" s="38">
        <v>8</v>
      </c>
      <c r="H32" s="38">
        <f>E32*F32*G32</f>
        <v>720</v>
      </c>
      <c r="I32" s="40" t="e">
        <f>D32*H32</f>
        <v>#REF!</v>
      </c>
    </row>
    <row r="33" spans="2:13" hidden="1" x14ac:dyDescent="0.2">
      <c r="B33" s="38" t="s">
        <v>13</v>
      </c>
      <c r="C33" s="38" t="s">
        <v>0</v>
      </c>
      <c r="D33" s="39" t="e">
        <f>#REF!</f>
        <v>#REF!</v>
      </c>
      <c r="E33" s="38">
        <v>3</v>
      </c>
      <c r="F33" s="38">
        <v>30</v>
      </c>
      <c r="G33" s="38">
        <v>8</v>
      </c>
      <c r="H33" s="38">
        <f>E33*F33*G33</f>
        <v>720</v>
      </c>
      <c r="I33" s="40" t="e">
        <f>D33*H33</f>
        <v>#REF!</v>
      </c>
    </row>
    <row r="34" spans="2:13" hidden="1" x14ac:dyDescent="0.2">
      <c r="F34" s="43"/>
      <c r="G34" s="44"/>
      <c r="H34" s="45" t="s">
        <v>14</v>
      </c>
      <c r="I34" s="46" t="e">
        <f>SUM(I30:I33)</f>
        <v>#REF!</v>
      </c>
    </row>
    <row r="35" spans="2:13" hidden="1" x14ac:dyDescent="0.2">
      <c r="B35" s="54" t="s">
        <v>15</v>
      </c>
    </row>
    <row r="36" spans="2:13" ht="63.75" hidden="1" x14ac:dyDescent="0.2">
      <c r="B36" s="55" t="s">
        <v>3</v>
      </c>
      <c r="C36" s="55" t="s">
        <v>4</v>
      </c>
      <c r="D36" s="56" t="s">
        <v>5</v>
      </c>
      <c r="E36" s="55" t="s">
        <v>6</v>
      </c>
      <c r="F36" s="55" t="s">
        <v>7</v>
      </c>
      <c r="G36" s="55" t="s">
        <v>8</v>
      </c>
      <c r="H36" s="55" t="s">
        <v>9</v>
      </c>
      <c r="I36" s="55" t="s">
        <v>10</v>
      </c>
    </row>
    <row r="37" spans="2:13" hidden="1" x14ac:dyDescent="0.2">
      <c r="B37" s="38" t="s">
        <v>18</v>
      </c>
      <c r="C37" s="38" t="s">
        <v>0</v>
      </c>
      <c r="D37" s="39" t="e">
        <f>#REF!</f>
        <v>#REF!</v>
      </c>
      <c r="E37" s="38">
        <v>3</v>
      </c>
      <c r="F37" s="38">
        <v>30</v>
      </c>
      <c r="G37" s="38">
        <v>16</v>
      </c>
      <c r="H37" s="38">
        <f>E37*F37*G37</f>
        <v>1440</v>
      </c>
      <c r="I37" s="40" t="e">
        <f>D37*H37</f>
        <v>#REF!</v>
      </c>
    </row>
    <row r="38" spans="2:13" hidden="1" x14ac:dyDescent="0.2">
      <c r="B38" s="38" t="s">
        <v>12</v>
      </c>
      <c r="C38" s="38" t="s">
        <v>0</v>
      </c>
      <c r="D38" s="39" t="e">
        <f>#REF!</f>
        <v>#REF!</v>
      </c>
      <c r="E38" s="38">
        <v>3</v>
      </c>
      <c r="F38" s="38">
        <v>30</v>
      </c>
      <c r="G38" s="38">
        <v>16</v>
      </c>
      <c r="H38" s="38">
        <f>E38*F38*G38</f>
        <v>1440</v>
      </c>
      <c r="I38" s="40" t="e">
        <f>D38*H38</f>
        <v>#REF!</v>
      </c>
    </row>
    <row r="39" spans="2:13" hidden="1" x14ac:dyDescent="0.2">
      <c r="B39" s="38" t="s">
        <v>19</v>
      </c>
      <c r="C39" s="38" t="s">
        <v>0</v>
      </c>
      <c r="D39" s="39" t="e">
        <f>#REF!</f>
        <v>#REF!</v>
      </c>
      <c r="E39" s="38">
        <v>3</v>
      </c>
      <c r="F39" s="38">
        <v>30</v>
      </c>
      <c r="G39" s="38">
        <v>16</v>
      </c>
      <c r="H39" s="38">
        <f>E39*F39*G39</f>
        <v>1440</v>
      </c>
      <c r="I39" s="40" t="e">
        <f>D39*H39</f>
        <v>#REF!</v>
      </c>
    </row>
    <row r="40" spans="2:13" hidden="1" x14ac:dyDescent="0.2">
      <c r="F40" s="43"/>
      <c r="G40" s="44"/>
      <c r="H40" s="45" t="s">
        <v>14</v>
      </c>
      <c r="I40" s="46" t="e">
        <f>SUM(I37:I39)</f>
        <v>#REF!</v>
      </c>
    </row>
    <row r="41" spans="2:13" hidden="1" x14ac:dyDescent="0.2"/>
    <row r="42" spans="2:13" ht="19.5" hidden="1" thickBot="1" x14ac:dyDescent="0.35">
      <c r="H42" s="50" t="s">
        <v>16</v>
      </c>
      <c r="I42" s="51" t="e">
        <f>I34+I40</f>
        <v>#REF!</v>
      </c>
      <c r="M42" s="57"/>
    </row>
    <row r="43" spans="2:13" hidden="1" x14ac:dyDescent="0.2"/>
    <row r="44" spans="2:13" ht="116.25" hidden="1" customHeight="1" thickBot="1" x14ac:dyDescent="0.25">
      <c r="B44" s="125" t="s">
        <v>22</v>
      </c>
      <c r="C44" s="126"/>
      <c r="D44" s="126"/>
      <c r="E44" s="126"/>
      <c r="F44" s="126"/>
      <c r="G44" s="126"/>
      <c r="H44" s="126"/>
      <c r="I44" s="126"/>
    </row>
  </sheetData>
  <mergeCells count="10">
    <mergeCell ref="B24:I24"/>
    <mergeCell ref="B25:I25"/>
    <mergeCell ref="B26:I26"/>
    <mergeCell ref="B44:I44"/>
    <mergeCell ref="B2:I2"/>
    <mergeCell ref="M2:T2"/>
    <mergeCell ref="B3:I3"/>
    <mergeCell ref="M3:T3"/>
    <mergeCell ref="B4:I4"/>
    <mergeCell ref="M4:T4"/>
  </mergeCells>
  <pageMargins left="0.75" right="0.75" top="1" bottom="1" header="0.5" footer="0.5"/>
  <pageSetup paperSize="9" orientation="portrait" r:id="rId1"/>
  <headerFooter alignWithMargins="0"/>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F72C-2EC4-429E-A726-09DA699CFAAD}">
  <sheetPr>
    <tabColor rgb="FFFF0000"/>
  </sheetPr>
  <dimension ref="B2:T22"/>
  <sheetViews>
    <sheetView showGridLines="0" zoomScaleNormal="100" workbookViewId="0">
      <selection activeCell="B4" sqref="B4:I4"/>
    </sheetView>
  </sheetViews>
  <sheetFormatPr defaultRowHeight="12.75" x14ac:dyDescent="0.2"/>
  <cols>
    <col min="1" max="1" width="9.140625" style="34"/>
    <col min="2" max="2" width="16.42578125" style="34" customWidth="1"/>
    <col min="3" max="3" width="9.140625" style="34"/>
    <col min="4" max="4" width="9.140625" style="35"/>
    <col min="5" max="7" width="9.140625" style="34"/>
    <col min="8" max="8" width="16.28515625" style="34" customWidth="1"/>
    <col min="9" max="9" width="14.140625" style="34" customWidth="1"/>
    <col min="10" max="10" width="9.140625" style="31"/>
    <col min="11" max="11" width="9.140625" style="32"/>
    <col min="12" max="12" width="9.140625" style="31"/>
    <col min="13" max="13" width="17.85546875" style="34" customWidth="1"/>
    <col min="14" max="14" width="9" style="34" customWidth="1"/>
    <col min="15" max="15" width="9.5703125" style="35" customWidth="1"/>
    <col min="16" max="17" width="8.85546875" style="34" bestFit="1" customWidth="1"/>
    <col min="18" max="18" width="7.5703125" style="34" customWidth="1"/>
    <col min="19" max="19" width="18.5703125" style="34" customWidth="1"/>
    <col min="20" max="20" width="12.28515625" style="34" customWidth="1"/>
    <col min="21" max="16384" width="9.140625" style="34"/>
  </cols>
  <sheetData>
    <row r="2" spans="2:20" ht="15.75" x14ac:dyDescent="0.25">
      <c r="B2" s="123">
        <v>2018</v>
      </c>
      <c r="C2" s="123"/>
      <c r="D2" s="123"/>
      <c r="E2" s="123"/>
      <c r="F2" s="123"/>
      <c r="G2" s="123"/>
      <c r="H2" s="123"/>
      <c r="I2" s="123"/>
      <c r="M2" s="123">
        <v>2019</v>
      </c>
      <c r="N2" s="123"/>
      <c r="O2" s="123"/>
      <c r="P2" s="123"/>
      <c r="Q2" s="123"/>
      <c r="R2" s="123"/>
      <c r="S2" s="123"/>
      <c r="T2" s="123"/>
    </row>
    <row r="3" spans="2:20" ht="15.75" customHeight="1" x14ac:dyDescent="0.25">
      <c r="B3" s="123" t="s">
        <v>71</v>
      </c>
      <c r="C3" s="123"/>
      <c r="D3" s="123"/>
      <c r="E3" s="123"/>
      <c r="F3" s="123"/>
      <c r="G3" s="123"/>
      <c r="H3" s="123"/>
      <c r="I3" s="123"/>
      <c r="M3" s="123" t="s">
        <v>50</v>
      </c>
      <c r="N3" s="123"/>
      <c r="O3" s="123"/>
      <c r="P3" s="123"/>
      <c r="Q3" s="123"/>
      <c r="R3" s="123"/>
      <c r="S3" s="123"/>
      <c r="T3" s="123"/>
    </row>
    <row r="4" spans="2:20" ht="15.75" x14ac:dyDescent="0.25">
      <c r="B4" s="123" t="s">
        <v>63</v>
      </c>
      <c r="C4" s="123"/>
      <c r="D4" s="123"/>
      <c r="E4" s="123"/>
      <c r="F4" s="123"/>
      <c r="G4" s="123"/>
      <c r="H4" s="123"/>
      <c r="I4" s="123"/>
      <c r="M4" s="123" t="s">
        <v>63</v>
      </c>
      <c r="N4" s="123"/>
      <c r="O4" s="123"/>
      <c r="P4" s="123"/>
      <c r="Q4" s="123"/>
      <c r="R4" s="123"/>
      <c r="S4" s="123"/>
      <c r="T4" s="123"/>
    </row>
    <row r="6" spans="2:20" x14ac:dyDescent="0.2">
      <c r="B6" s="33" t="s">
        <v>2</v>
      </c>
      <c r="M6" s="33" t="s">
        <v>2</v>
      </c>
    </row>
    <row r="7" spans="2:20" ht="38.25" customHeight="1" x14ac:dyDescent="0.2">
      <c r="B7" s="36" t="s">
        <v>3</v>
      </c>
      <c r="C7" s="36" t="s">
        <v>4</v>
      </c>
      <c r="D7" s="37" t="s">
        <v>92</v>
      </c>
      <c r="E7" s="36" t="s">
        <v>93</v>
      </c>
      <c r="F7" s="36" t="s">
        <v>7</v>
      </c>
      <c r="G7" s="36" t="s">
        <v>8</v>
      </c>
      <c r="H7" s="36" t="s">
        <v>91</v>
      </c>
      <c r="I7" s="36" t="s">
        <v>10</v>
      </c>
      <c r="M7" s="36" t="s">
        <v>3</v>
      </c>
      <c r="N7" s="36" t="s">
        <v>4</v>
      </c>
      <c r="O7" s="37" t="s">
        <v>92</v>
      </c>
      <c r="P7" s="36" t="s">
        <v>93</v>
      </c>
      <c r="Q7" s="36" t="s">
        <v>7</v>
      </c>
      <c r="R7" s="36" t="s">
        <v>8</v>
      </c>
      <c r="S7" s="36" t="s">
        <v>91</v>
      </c>
      <c r="T7" s="36" t="s">
        <v>10</v>
      </c>
    </row>
    <row r="8" spans="2:20" x14ac:dyDescent="0.2">
      <c r="B8" s="38" t="s">
        <v>30</v>
      </c>
      <c r="C8" s="38" t="s">
        <v>29</v>
      </c>
      <c r="D8" s="39">
        <v>2.0799999999999999E-2</v>
      </c>
      <c r="E8" s="38">
        <v>3</v>
      </c>
      <c r="F8" s="38">
        <v>30</v>
      </c>
      <c r="G8" s="38">
        <v>8</v>
      </c>
      <c r="H8" s="38">
        <f>E8*F8*G8</f>
        <v>720</v>
      </c>
      <c r="I8" s="40">
        <f>D8*H8</f>
        <v>14.975999999999999</v>
      </c>
      <c r="M8" s="38" t="s">
        <v>30</v>
      </c>
      <c r="N8" s="38" t="s">
        <v>29</v>
      </c>
      <c r="O8" s="41">
        <v>2.0920476190476191E-2</v>
      </c>
      <c r="P8" s="38">
        <v>3</v>
      </c>
      <c r="Q8" s="38">
        <v>30</v>
      </c>
      <c r="R8" s="38">
        <v>8</v>
      </c>
      <c r="S8" s="38">
        <f>P8*Q8*R8</f>
        <v>720</v>
      </c>
      <c r="T8" s="40">
        <f>O8*S8</f>
        <v>15.062742857142858</v>
      </c>
    </row>
    <row r="9" spans="2:20" x14ac:dyDescent="0.2">
      <c r="B9" s="38" t="s">
        <v>78</v>
      </c>
      <c r="C9" s="38" t="s">
        <v>11</v>
      </c>
      <c r="D9" s="39">
        <v>3.3169</v>
      </c>
      <c r="E9" s="38">
        <v>1</v>
      </c>
      <c r="F9" s="38">
        <v>30</v>
      </c>
      <c r="G9" s="38">
        <v>8</v>
      </c>
      <c r="H9" s="38">
        <f>E9*F9*G9</f>
        <v>240</v>
      </c>
      <c r="I9" s="40">
        <f>D9*H9</f>
        <v>796.05600000000004</v>
      </c>
      <c r="M9" s="38" t="s">
        <v>78</v>
      </c>
      <c r="N9" s="38" t="s">
        <v>11</v>
      </c>
      <c r="O9" s="31">
        <v>2.2389999999999999</v>
      </c>
      <c r="P9" s="38">
        <v>1</v>
      </c>
      <c r="Q9" s="38">
        <v>30</v>
      </c>
      <c r="R9" s="38">
        <v>8</v>
      </c>
      <c r="S9" s="38">
        <f>P9*Q9*R9</f>
        <v>240</v>
      </c>
      <c r="T9" s="40">
        <f>O9*S9</f>
        <v>537.36</v>
      </c>
    </row>
    <row r="10" spans="2:20" x14ac:dyDescent="0.2">
      <c r="B10" s="38" t="s">
        <v>13</v>
      </c>
      <c r="C10" s="38" t="s">
        <v>0</v>
      </c>
      <c r="D10" s="39">
        <v>2.734E-2</v>
      </c>
      <c r="E10" s="38">
        <v>4</v>
      </c>
      <c r="F10" s="38">
        <v>30</v>
      </c>
      <c r="G10" s="38">
        <v>8</v>
      </c>
      <c r="H10" s="38">
        <f>E10*F10*G10</f>
        <v>960</v>
      </c>
      <c r="I10" s="40">
        <f>D10*H10</f>
        <v>26.246400000000001</v>
      </c>
      <c r="M10" s="38" t="s">
        <v>13</v>
      </c>
      <c r="N10" s="38" t="s">
        <v>0</v>
      </c>
      <c r="O10" s="41">
        <v>2.8150000000000001E-2</v>
      </c>
      <c r="P10" s="38">
        <v>4</v>
      </c>
      <c r="Q10" s="38">
        <v>30</v>
      </c>
      <c r="R10" s="38">
        <v>8</v>
      </c>
      <c r="S10" s="38">
        <f>P10*Q10*R10</f>
        <v>960</v>
      </c>
      <c r="T10" s="40">
        <f>O10*S10</f>
        <v>27.024000000000001</v>
      </c>
    </row>
    <row r="11" spans="2:20" x14ac:dyDescent="0.2">
      <c r="B11" s="38" t="s">
        <v>77</v>
      </c>
      <c r="C11" s="38" t="s">
        <v>0</v>
      </c>
      <c r="D11" s="39">
        <v>8.2000000000000003E-2</v>
      </c>
      <c r="E11" s="38">
        <v>3</v>
      </c>
      <c r="F11" s="38">
        <v>30</v>
      </c>
      <c r="G11" s="38">
        <v>8</v>
      </c>
      <c r="H11" s="38">
        <f>E11*F11*G11</f>
        <v>720</v>
      </c>
      <c r="I11" s="40">
        <f>D11*H11</f>
        <v>59.04</v>
      </c>
      <c r="M11" s="38" t="s">
        <v>77</v>
      </c>
      <c r="N11" s="38" t="s">
        <v>0</v>
      </c>
      <c r="O11" s="41">
        <v>0.10357</v>
      </c>
      <c r="P11" s="38">
        <v>3</v>
      </c>
      <c r="Q11" s="38">
        <v>30</v>
      </c>
      <c r="R11" s="38">
        <v>8</v>
      </c>
      <c r="S11" s="38">
        <f>P11*Q11*R11</f>
        <v>720</v>
      </c>
      <c r="T11" s="40">
        <f>O11*S11</f>
        <v>74.570399999999992</v>
      </c>
    </row>
    <row r="12" spans="2:20" x14ac:dyDescent="0.2">
      <c r="B12" s="38" t="s">
        <v>28</v>
      </c>
      <c r="C12" s="38" t="s">
        <v>0</v>
      </c>
      <c r="D12" s="39">
        <v>0.25940000000000002</v>
      </c>
      <c r="E12" s="38">
        <v>3</v>
      </c>
      <c r="F12" s="38">
        <v>30</v>
      </c>
      <c r="G12" s="38">
        <v>8</v>
      </c>
      <c r="H12" s="38">
        <f>E12*F12*G12</f>
        <v>720</v>
      </c>
      <c r="I12" s="40">
        <f>D12*H12</f>
        <v>186.768</v>
      </c>
      <c r="M12" s="38" t="s">
        <v>28</v>
      </c>
      <c r="N12" s="38" t="s">
        <v>0</v>
      </c>
      <c r="O12" s="41">
        <v>0.25190000000000001</v>
      </c>
      <c r="P12" s="38">
        <v>3</v>
      </c>
      <c r="Q12" s="38">
        <v>30</v>
      </c>
      <c r="R12" s="38">
        <v>8</v>
      </c>
      <c r="S12" s="38">
        <f>P12*Q12*R12</f>
        <v>720</v>
      </c>
      <c r="T12" s="40">
        <f>O12*S12</f>
        <v>181.36799999999999</v>
      </c>
    </row>
    <row r="13" spans="2:20" x14ac:dyDescent="0.2">
      <c r="F13" s="43"/>
      <c r="G13" s="44"/>
      <c r="H13" s="45" t="s">
        <v>14</v>
      </c>
      <c r="I13" s="58">
        <f>SUM(I8:I12)</f>
        <v>1083.0863999999999</v>
      </c>
      <c r="Q13" s="43"/>
      <c r="R13" s="44"/>
      <c r="S13" s="45" t="s">
        <v>14</v>
      </c>
      <c r="T13" s="46">
        <f>SUM(T8:T12)</f>
        <v>835.38514285714291</v>
      </c>
    </row>
    <row r="14" spans="2:20" x14ac:dyDescent="0.2">
      <c r="B14" s="47" t="s">
        <v>15</v>
      </c>
      <c r="M14" s="47" t="s">
        <v>15</v>
      </c>
    </row>
    <row r="15" spans="2:20" ht="38.25" customHeight="1" x14ac:dyDescent="0.2">
      <c r="B15" s="48" t="s">
        <v>3</v>
      </c>
      <c r="C15" s="48" t="s">
        <v>4</v>
      </c>
      <c r="D15" s="49" t="s">
        <v>92</v>
      </c>
      <c r="E15" s="48" t="s">
        <v>93</v>
      </c>
      <c r="F15" s="48" t="s">
        <v>7</v>
      </c>
      <c r="G15" s="48" t="s">
        <v>8</v>
      </c>
      <c r="H15" s="48" t="s">
        <v>91</v>
      </c>
      <c r="I15" s="48" t="str">
        <f>'Old LTR Cm Eto'!I15</f>
        <v>Cost of Cont Phase in US$</v>
      </c>
      <c r="M15" s="48" t="s">
        <v>3</v>
      </c>
      <c r="N15" s="48" t="s">
        <v>4</v>
      </c>
      <c r="O15" s="49" t="s">
        <v>92</v>
      </c>
      <c r="P15" s="48" t="s">
        <v>93</v>
      </c>
      <c r="Q15" s="48" t="s">
        <v>7</v>
      </c>
      <c r="R15" s="48" t="s">
        <v>8</v>
      </c>
      <c r="S15" s="48" t="s">
        <v>91</v>
      </c>
      <c r="T15" s="48" t="s">
        <v>26</v>
      </c>
    </row>
    <row r="16" spans="2:20" x14ac:dyDescent="0.2">
      <c r="B16" s="38" t="s">
        <v>30</v>
      </c>
      <c r="C16" s="38" t="s">
        <v>29</v>
      </c>
      <c r="D16" s="39">
        <f>D8</f>
        <v>2.0799999999999999E-2</v>
      </c>
      <c r="E16" s="38">
        <v>3</v>
      </c>
      <c r="F16" s="38">
        <v>30</v>
      </c>
      <c r="G16" s="38">
        <v>12</v>
      </c>
      <c r="H16" s="38">
        <f>E16*F16*G16</f>
        <v>1080</v>
      </c>
      <c r="I16" s="40">
        <f>D16*H16</f>
        <v>22.463999999999999</v>
      </c>
      <c r="M16" s="38" t="s">
        <v>30</v>
      </c>
      <c r="N16" s="38" t="s">
        <v>29</v>
      </c>
      <c r="O16" s="39">
        <f>O8</f>
        <v>2.0920476190476191E-2</v>
      </c>
      <c r="P16" s="38">
        <v>3</v>
      </c>
      <c r="Q16" s="38">
        <v>30</v>
      </c>
      <c r="R16" s="38">
        <v>12</v>
      </c>
      <c r="S16" s="38">
        <f>P16*Q16*R16</f>
        <v>1080</v>
      </c>
      <c r="T16" s="40">
        <f>O16*S16</f>
        <v>22.594114285714287</v>
      </c>
    </row>
    <row r="17" spans="2:20" x14ac:dyDescent="0.2">
      <c r="B17" s="38" t="s">
        <v>13</v>
      </c>
      <c r="C17" s="38" t="s">
        <v>0</v>
      </c>
      <c r="D17" s="39">
        <f>D10</f>
        <v>2.734E-2</v>
      </c>
      <c r="E17" s="38">
        <v>4</v>
      </c>
      <c r="F17" s="38">
        <v>30</v>
      </c>
      <c r="G17" s="38">
        <v>12</v>
      </c>
      <c r="H17" s="38">
        <f>E17*F17*G17</f>
        <v>1440</v>
      </c>
      <c r="I17" s="40">
        <f>D17*H17</f>
        <v>39.369599999999998</v>
      </c>
      <c r="M17" s="38" t="s">
        <v>13</v>
      </c>
      <c r="N17" s="38" t="s">
        <v>0</v>
      </c>
      <c r="O17" s="39">
        <f>O10</f>
        <v>2.8150000000000001E-2</v>
      </c>
      <c r="P17" s="38">
        <v>4</v>
      </c>
      <c r="Q17" s="38">
        <v>30</v>
      </c>
      <c r="R17" s="38">
        <v>12</v>
      </c>
      <c r="S17" s="38">
        <f>P17*Q17*R17</f>
        <v>1440</v>
      </c>
      <c r="T17" s="40">
        <f>O17*S17</f>
        <v>40.536000000000001</v>
      </c>
    </row>
    <row r="18" spans="2:20" x14ac:dyDescent="0.2">
      <c r="B18" s="38" t="s">
        <v>77</v>
      </c>
      <c r="C18" s="38" t="s">
        <v>0</v>
      </c>
      <c r="D18" s="39">
        <f>D11</f>
        <v>8.2000000000000003E-2</v>
      </c>
      <c r="E18" s="38">
        <v>3</v>
      </c>
      <c r="F18" s="38">
        <v>30</v>
      </c>
      <c r="G18" s="38">
        <v>12</v>
      </c>
      <c r="H18" s="38">
        <f>E18*F18*G18</f>
        <v>1080</v>
      </c>
      <c r="I18" s="40">
        <f>D18*H18</f>
        <v>88.56</v>
      </c>
      <c r="M18" s="38" t="s">
        <v>77</v>
      </c>
      <c r="N18" s="38" t="s">
        <v>0</v>
      </c>
      <c r="O18" s="39">
        <f>O11</f>
        <v>0.10357</v>
      </c>
      <c r="P18" s="38">
        <v>3</v>
      </c>
      <c r="Q18" s="38">
        <v>30</v>
      </c>
      <c r="R18" s="38">
        <v>12</v>
      </c>
      <c r="S18" s="38">
        <f>P18*Q18*R18</f>
        <v>1080</v>
      </c>
      <c r="T18" s="40">
        <f>O18*S18</f>
        <v>111.8556</v>
      </c>
    </row>
    <row r="19" spans="2:20" x14ac:dyDescent="0.2">
      <c r="B19" s="38" t="s">
        <v>28</v>
      </c>
      <c r="C19" s="38" t="s">
        <v>0</v>
      </c>
      <c r="D19" s="39">
        <f>D12</f>
        <v>0.25940000000000002</v>
      </c>
      <c r="E19" s="38">
        <v>2</v>
      </c>
      <c r="F19" s="38">
        <v>30</v>
      </c>
      <c r="G19" s="38">
        <v>12</v>
      </c>
      <c r="H19" s="38">
        <f>E19*F19*G19</f>
        <v>720</v>
      </c>
      <c r="I19" s="40">
        <f>D19*H19</f>
        <v>186.768</v>
      </c>
      <c r="M19" s="38" t="s">
        <v>28</v>
      </c>
      <c r="N19" s="38" t="s">
        <v>0</v>
      </c>
      <c r="O19" s="39">
        <f>O12</f>
        <v>0.25190000000000001</v>
      </c>
      <c r="P19" s="38">
        <v>2</v>
      </c>
      <c r="Q19" s="38">
        <v>30</v>
      </c>
      <c r="R19" s="38">
        <v>12</v>
      </c>
      <c r="S19" s="38">
        <f>P19*Q19*R19</f>
        <v>720</v>
      </c>
      <c r="T19" s="40">
        <f>O19*S19</f>
        <v>181.36799999999999</v>
      </c>
    </row>
    <row r="20" spans="2:20" x14ac:dyDescent="0.2">
      <c r="F20" s="43"/>
      <c r="G20" s="44"/>
      <c r="H20" s="45" t="s">
        <v>48</v>
      </c>
      <c r="I20" s="58">
        <f>SUM(I16:I19)</f>
        <v>337.16160000000002</v>
      </c>
      <c r="Q20" s="43"/>
      <c r="R20" s="44"/>
      <c r="S20" s="45" t="s">
        <v>48</v>
      </c>
      <c r="T20" s="46">
        <f>SUM(T16:T19)</f>
        <v>356.35371428571426</v>
      </c>
    </row>
    <row r="21" spans="2:20" ht="13.5" thickBot="1" x14ac:dyDescent="0.25"/>
    <row r="22" spans="2:20" ht="13.5" thickBot="1" x14ac:dyDescent="0.25">
      <c r="H22" s="50" t="s">
        <v>16</v>
      </c>
      <c r="I22" s="51">
        <f>I13+I20</f>
        <v>1420.248</v>
      </c>
      <c r="S22" s="50" t="s">
        <v>27</v>
      </c>
      <c r="T22" s="51">
        <f>T13+T20</f>
        <v>1191.7388571428571</v>
      </c>
    </row>
  </sheetData>
  <mergeCells count="6">
    <mergeCell ref="B2:I2"/>
    <mergeCell ref="M2:T2"/>
    <mergeCell ref="B3:I3"/>
    <mergeCell ref="M3:T3"/>
    <mergeCell ref="B4:I4"/>
    <mergeCell ref="M4:T4"/>
  </mergeCells>
  <pageMargins left="0.75" right="0.75" top="1" bottom="1" header="0.5" footer="0.5"/>
  <pageSetup paperSize="9" orientation="portrait" r:id="rId1"/>
  <headerFooter alignWithMargins="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EC7AF-4917-4592-8BED-BFECC602A5F8}">
  <sheetPr>
    <tabColor rgb="FFFFC000"/>
  </sheetPr>
  <dimension ref="B2:Y24"/>
  <sheetViews>
    <sheetView showGridLines="0" zoomScaleNormal="100" workbookViewId="0"/>
  </sheetViews>
  <sheetFormatPr defaultRowHeight="12.75" x14ac:dyDescent="0.2"/>
  <cols>
    <col min="1" max="1" width="9.140625" style="34"/>
    <col min="2" max="2" width="16.28515625" style="34" bestFit="1" customWidth="1"/>
    <col min="3" max="3" width="9" style="34" customWidth="1"/>
    <col min="4" max="4" width="9.5703125" style="35" customWidth="1"/>
    <col min="5" max="5" width="9.85546875" style="34" customWidth="1"/>
    <col min="6" max="6" width="15.7109375" style="34" customWidth="1"/>
    <col min="7" max="7" width="7.5703125" style="34" customWidth="1"/>
    <col min="8" max="8" width="9.28515625" style="34" customWidth="1"/>
    <col min="9" max="9" width="12.28515625" style="34" customWidth="1"/>
    <col min="10" max="10" width="9.140625" style="31"/>
    <col min="11" max="11" width="9.140625" style="32"/>
    <col min="12" max="12" width="9.140625" style="31"/>
    <col min="13" max="13" width="16.28515625" style="34" bestFit="1" customWidth="1"/>
    <col min="14" max="14" width="9" style="34" customWidth="1"/>
    <col min="15" max="15" width="9.5703125" style="35" customWidth="1"/>
    <col min="16" max="16" width="10" style="34" customWidth="1"/>
    <col min="17" max="17" width="8.85546875" style="34" bestFit="1" customWidth="1"/>
    <col min="18" max="18" width="7.5703125" style="34" customWidth="1"/>
    <col min="19" max="19" width="14.42578125" style="34" customWidth="1"/>
    <col min="20" max="20" width="12.28515625" style="34" customWidth="1"/>
    <col min="21" max="16384" width="9.140625" style="34"/>
  </cols>
  <sheetData>
    <row r="2" spans="2:25" ht="15.75" x14ac:dyDescent="0.25">
      <c r="B2" s="123">
        <v>2017</v>
      </c>
      <c r="C2" s="123"/>
      <c r="D2" s="123"/>
      <c r="E2" s="123"/>
      <c r="F2" s="123"/>
      <c r="G2" s="123"/>
      <c r="H2" s="123"/>
      <c r="I2" s="123"/>
      <c r="M2" s="123">
        <v>2018</v>
      </c>
      <c r="N2" s="123"/>
      <c r="O2" s="123"/>
      <c r="P2" s="123"/>
      <c r="Q2" s="123"/>
      <c r="R2" s="123"/>
      <c r="S2" s="123"/>
      <c r="T2" s="123"/>
    </row>
    <row r="3" spans="2:25" ht="15.75" customHeight="1" x14ac:dyDescent="0.25">
      <c r="B3" s="123" t="s">
        <v>49</v>
      </c>
      <c r="C3" s="123"/>
      <c r="D3" s="123"/>
      <c r="E3" s="123"/>
      <c r="F3" s="123"/>
      <c r="G3" s="123"/>
      <c r="H3" s="123"/>
      <c r="I3" s="123"/>
      <c r="M3" s="123" t="s">
        <v>49</v>
      </c>
      <c r="N3" s="123"/>
      <c r="O3" s="123"/>
      <c r="P3" s="123"/>
      <c r="Q3" s="123"/>
      <c r="R3" s="123"/>
      <c r="S3" s="123"/>
      <c r="T3" s="123"/>
    </row>
    <row r="4" spans="2:25" ht="15.75" x14ac:dyDescent="0.25">
      <c r="B4" s="123" t="s">
        <v>62</v>
      </c>
      <c r="C4" s="123"/>
      <c r="D4" s="123"/>
      <c r="E4" s="123"/>
      <c r="F4" s="123"/>
      <c r="G4" s="123"/>
      <c r="H4" s="123"/>
      <c r="I4" s="123"/>
      <c r="M4" s="123" t="s">
        <v>62</v>
      </c>
      <c r="N4" s="123"/>
      <c r="O4" s="123"/>
      <c r="P4" s="123"/>
      <c r="Q4" s="123"/>
      <c r="R4" s="123"/>
      <c r="S4" s="123"/>
      <c r="T4" s="123"/>
    </row>
    <row r="6" spans="2:25" x14ac:dyDescent="0.2">
      <c r="B6" s="33" t="s">
        <v>2</v>
      </c>
      <c r="M6" s="33" t="s">
        <v>2</v>
      </c>
    </row>
    <row r="7" spans="2:25" ht="76.5" x14ac:dyDescent="0.2">
      <c r="B7" s="36" t="s">
        <v>3</v>
      </c>
      <c r="C7" s="36" t="s">
        <v>4</v>
      </c>
      <c r="D7" s="37" t="s">
        <v>92</v>
      </c>
      <c r="E7" s="36" t="s">
        <v>93</v>
      </c>
      <c r="F7" s="36" t="s">
        <v>7</v>
      </c>
      <c r="G7" s="36" t="s">
        <v>8</v>
      </c>
      <c r="H7" s="36" t="s">
        <v>91</v>
      </c>
      <c r="I7" s="36" t="s">
        <v>10</v>
      </c>
      <c r="M7" s="36" t="s">
        <v>3</v>
      </c>
      <c r="N7" s="36" t="s">
        <v>4</v>
      </c>
      <c r="O7" s="37" t="s">
        <v>92</v>
      </c>
      <c r="P7" s="36" t="s">
        <v>93</v>
      </c>
      <c r="Q7" s="36" t="s">
        <v>7</v>
      </c>
      <c r="R7" s="36" t="s">
        <v>8</v>
      </c>
      <c r="S7" s="36" t="s">
        <v>91</v>
      </c>
      <c r="T7" s="36" t="s">
        <v>10</v>
      </c>
    </row>
    <row r="8" spans="2:25" x14ac:dyDescent="0.2">
      <c r="B8" s="38" t="s">
        <v>30</v>
      </c>
      <c r="C8" s="38" t="s">
        <v>29</v>
      </c>
      <c r="D8" s="39">
        <v>2.0799999999999999E-2</v>
      </c>
      <c r="E8" s="59">
        <v>4</v>
      </c>
      <c r="F8" s="38">
        <v>30</v>
      </c>
      <c r="G8" s="38">
        <v>4</v>
      </c>
      <c r="H8" s="38">
        <f t="shared" ref="H8:H14" si="0">E8*F8*G8</f>
        <v>480</v>
      </c>
      <c r="I8" s="40">
        <f t="shared" ref="I8:I14" si="1">D8*H8</f>
        <v>9.984</v>
      </c>
      <c r="M8" s="38" t="s">
        <v>30</v>
      </c>
      <c r="N8" s="38" t="s">
        <v>29</v>
      </c>
      <c r="O8" s="41">
        <v>2.0920476190476191E-2</v>
      </c>
      <c r="P8" s="38">
        <v>4</v>
      </c>
      <c r="Q8" s="38">
        <v>30</v>
      </c>
      <c r="R8" s="38">
        <v>4</v>
      </c>
      <c r="S8" s="38">
        <f t="shared" ref="S8:S14" si="2">P8*Q8*R8</f>
        <v>480</v>
      </c>
      <c r="T8" s="40">
        <f t="shared" ref="T8:T14" si="3">O8*S8</f>
        <v>10.041828571428571</v>
      </c>
      <c r="W8" s="38" t="s">
        <v>30</v>
      </c>
      <c r="X8" s="38" t="s">
        <v>29</v>
      </c>
      <c r="Y8" s="41">
        <v>2.0920476190476191E-2</v>
      </c>
    </row>
    <row r="9" spans="2:25" x14ac:dyDescent="0.2">
      <c r="B9" s="38" t="s">
        <v>25</v>
      </c>
      <c r="C9" s="38" t="s">
        <v>11</v>
      </c>
      <c r="D9" s="39">
        <v>0.92</v>
      </c>
      <c r="E9" s="59">
        <v>1</v>
      </c>
      <c r="F9" s="38">
        <v>30</v>
      </c>
      <c r="G9" s="38">
        <v>4</v>
      </c>
      <c r="H9" s="38">
        <f t="shared" si="0"/>
        <v>120</v>
      </c>
      <c r="I9" s="40">
        <f t="shared" si="1"/>
        <v>110.4</v>
      </c>
      <c r="M9" s="38" t="s">
        <v>25</v>
      </c>
      <c r="N9" s="38" t="s">
        <v>11</v>
      </c>
      <c r="O9" s="31">
        <v>0.66700000000000004</v>
      </c>
      <c r="P9" s="38">
        <v>1</v>
      </c>
      <c r="Q9" s="38">
        <v>30</v>
      </c>
      <c r="R9" s="38">
        <v>4</v>
      </c>
      <c r="S9" s="38">
        <f t="shared" si="2"/>
        <v>120</v>
      </c>
      <c r="T9" s="40">
        <f t="shared" si="3"/>
        <v>80.040000000000006</v>
      </c>
      <c r="W9" s="38" t="s">
        <v>109</v>
      </c>
      <c r="X9" s="38"/>
      <c r="Y9" s="39"/>
    </row>
    <row r="10" spans="2:25" x14ac:dyDescent="0.2">
      <c r="B10" s="38" t="s">
        <v>72</v>
      </c>
      <c r="C10" s="38" t="s">
        <v>29</v>
      </c>
      <c r="D10" s="39">
        <v>0.26429999999999998</v>
      </c>
      <c r="E10" s="59">
        <v>1.5</v>
      </c>
      <c r="F10" s="38">
        <v>30</v>
      </c>
      <c r="G10" s="38">
        <v>4</v>
      </c>
      <c r="H10" s="38">
        <f t="shared" si="0"/>
        <v>180</v>
      </c>
      <c r="I10" s="40">
        <f t="shared" si="1"/>
        <v>47.573999999999998</v>
      </c>
      <c r="M10" s="38" t="s">
        <v>72</v>
      </c>
      <c r="N10" s="38" t="s">
        <v>29</v>
      </c>
      <c r="O10" s="41">
        <v>0.21953500000000001</v>
      </c>
      <c r="P10" s="38">
        <v>1.5</v>
      </c>
      <c r="Q10" s="38">
        <v>30</v>
      </c>
      <c r="R10" s="38">
        <v>4</v>
      </c>
      <c r="S10" s="38">
        <f t="shared" si="2"/>
        <v>180</v>
      </c>
      <c r="T10" s="40">
        <f t="shared" si="3"/>
        <v>39.516300000000001</v>
      </c>
      <c r="W10" s="38" t="s">
        <v>72</v>
      </c>
      <c r="X10" s="38" t="s">
        <v>29</v>
      </c>
      <c r="Y10" s="41">
        <v>0.21953500000000001</v>
      </c>
    </row>
    <row r="11" spans="2:25" x14ac:dyDescent="0.2">
      <c r="B11" s="38" t="s">
        <v>77</v>
      </c>
      <c r="C11" s="38" t="s">
        <v>0</v>
      </c>
      <c r="D11" s="39">
        <v>8.2000000000000003E-2</v>
      </c>
      <c r="E11" s="59">
        <v>2</v>
      </c>
      <c r="F11" s="38">
        <v>30</v>
      </c>
      <c r="G11" s="38">
        <v>4</v>
      </c>
      <c r="H11" s="38">
        <f t="shared" si="0"/>
        <v>240</v>
      </c>
      <c r="I11" s="40">
        <f t="shared" si="1"/>
        <v>19.68</v>
      </c>
      <c r="M11" s="38" t="s">
        <v>77</v>
      </c>
      <c r="N11" s="38" t="s">
        <v>0</v>
      </c>
      <c r="O11" s="41">
        <v>0.10357</v>
      </c>
      <c r="P11" s="38">
        <v>2</v>
      </c>
      <c r="Q11" s="38">
        <v>30</v>
      </c>
      <c r="R11" s="38">
        <v>4</v>
      </c>
      <c r="S11" s="38">
        <f t="shared" si="2"/>
        <v>240</v>
      </c>
      <c r="T11" s="40">
        <f t="shared" si="3"/>
        <v>24.8568</v>
      </c>
      <c r="W11" s="38" t="s">
        <v>77</v>
      </c>
      <c r="X11" s="38" t="s">
        <v>0</v>
      </c>
      <c r="Y11" s="41">
        <v>0.10357</v>
      </c>
    </row>
    <row r="12" spans="2:25" x14ac:dyDescent="0.2">
      <c r="B12" s="38" t="s">
        <v>73</v>
      </c>
      <c r="C12" s="38" t="s">
        <v>33</v>
      </c>
      <c r="D12" s="39">
        <v>0.98240000000000005</v>
      </c>
      <c r="E12" s="59">
        <v>1</v>
      </c>
      <c r="F12" s="38">
        <v>30</v>
      </c>
      <c r="G12" s="42">
        <v>4</v>
      </c>
      <c r="H12" s="38">
        <f t="shared" si="0"/>
        <v>120</v>
      </c>
      <c r="I12" s="40">
        <f t="shared" si="1"/>
        <v>117.88800000000001</v>
      </c>
      <c r="M12" s="38" t="s">
        <v>73</v>
      </c>
      <c r="N12" s="38" t="s">
        <v>33</v>
      </c>
      <c r="O12" s="41">
        <v>0.54</v>
      </c>
      <c r="P12" s="38">
        <v>1</v>
      </c>
      <c r="Q12" s="38">
        <v>30</v>
      </c>
      <c r="R12" s="42">
        <v>4</v>
      </c>
      <c r="S12" s="38">
        <f t="shared" si="2"/>
        <v>120</v>
      </c>
      <c r="T12" s="40">
        <f t="shared" si="3"/>
        <v>64.800000000000011</v>
      </c>
      <c r="W12" s="38" t="s">
        <v>73</v>
      </c>
      <c r="X12" s="38" t="s">
        <v>33</v>
      </c>
      <c r="Y12" s="41">
        <v>0.54</v>
      </c>
    </row>
    <row r="13" spans="2:25" x14ac:dyDescent="0.2">
      <c r="B13" s="38" t="s">
        <v>31</v>
      </c>
      <c r="C13" s="38" t="s">
        <v>1</v>
      </c>
      <c r="D13" s="39">
        <v>3.1440000000000003E-2</v>
      </c>
      <c r="E13" s="59">
        <v>2</v>
      </c>
      <c r="F13" s="38">
        <v>30</v>
      </c>
      <c r="G13" s="42">
        <v>4</v>
      </c>
      <c r="H13" s="38">
        <f t="shared" si="0"/>
        <v>240</v>
      </c>
      <c r="I13" s="40">
        <f t="shared" si="1"/>
        <v>7.5456000000000003</v>
      </c>
      <c r="M13" s="38" t="s">
        <v>31</v>
      </c>
      <c r="N13" s="38" t="s">
        <v>1</v>
      </c>
      <c r="O13" s="41">
        <v>3.3892857142857141E-2</v>
      </c>
      <c r="P13" s="38">
        <v>2</v>
      </c>
      <c r="Q13" s="38">
        <v>30</v>
      </c>
      <c r="R13" s="42">
        <v>4</v>
      </c>
      <c r="S13" s="38">
        <f t="shared" si="2"/>
        <v>240</v>
      </c>
      <c r="T13" s="40">
        <f t="shared" si="3"/>
        <v>8.1342857142857135</v>
      </c>
      <c r="W13" s="38" t="s">
        <v>31</v>
      </c>
      <c r="X13" s="38" t="s">
        <v>1</v>
      </c>
      <c r="Y13" s="41">
        <v>3.3892857142857141E-2</v>
      </c>
    </row>
    <row r="14" spans="2:25" x14ac:dyDescent="0.2">
      <c r="B14" s="38" t="s">
        <v>74</v>
      </c>
      <c r="C14" s="38" t="s">
        <v>32</v>
      </c>
      <c r="D14" s="39">
        <v>1.9740000000000001E-2</v>
      </c>
      <c r="E14" s="59">
        <v>2</v>
      </c>
      <c r="F14" s="42">
        <v>30</v>
      </c>
      <c r="G14" s="42">
        <v>4</v>
      </c>
      <c r="H14" s="42">
        <f t="shared" si="0"/>
        <v>240</v>
      </c>
      <c r="I14" s="40">
        <f t="shared" si="1"/>
        <v>4.7376000000000005</v>
      </c>
      <c r="M14" s="38" t="s">
        <v>74</v>
      </c>
      <c r="N14" s="38" t="s">
        <v>32</v>
      </c>
      <c r="O14" s="41">
        <v>1.9561904761904763E-2</v>
      </c>
      <c r="P14" s="38">
        <v>2</v>
      </c>
      <c r="Q14" s="42">
        <v>30</v>
      </c>
      <c r="R14" s="42">
        <v>4</v>
      </c>
      <c r="S14" s="42">
        <f t="shared" si="2"/>
        <v>240</v>
      </c>
      <c r="T14" s="40">
        <f t="shared" si="3"/>
        <v>4.6948571428571428</v>
      </c>
      <c r="W14" s="38" t="s">
        <v>74</v>
      </c>
      <c r="X14" s="38" t="s">
        <v>32</v>
      </c>
      <c r="Y14" s="41">
        <v>1.9561904761904763E-2</v>
      </c>
    </row>
    <row r="15" spans="2:25" x14ac:dyDescent="0.2">
      <c r="F15" s="43"/>
      <c r="G15" s="44"/>
      <c r="H15" s="45" t="s">
        <v>14</v>
      </c>
      <c r="I15" s="46">
        <f>SUM(I8:I14)</f>
        <v>317.80919999999998</v>
      </c>
      <c r="Q15" s="43"/>
      <c r="R15" s="44"/>
      <c r="S15" s="45" t="s">
        <v>14</v>
      </c>
      <c r="T15" s="46">
        <f>SUM(T8:T14)</f>
        <v>232.08407142857141</v>
      </c>
    </row>
    <row r="16" spans="2:25" x14ac:dyDescent="0.2">
      <c r="B16" s="47" t="s">
        <v>15</v>
      </c>
      <c r="M16" s="47" t="s">
        <v>15</v>
      </c>
    </row>
    <row r="17" spans="2:20" ht="76.5" x14ac:dyDescent="0.2">
      <c r="B17" s="48" t="s">
        <v>3</v>
      </c>
      <c r="C17" s="48" t="s">
        <v>4</v>
      </c>
      <c r="D17" s="49" t="s">
        <v>92</v>
      </c>
      <c r="E17" s="48" t="s">
        <v>93</v>
      </c>
      <c r="F17" s="48" t="s">
        <v>7</v>
      </c>
      <c r="G17" s="48" t="s">
        <v>8</v>
      </c>
      <c r="H17" s="48" t="s">
        <v>91</v>
      </c>
      <c r="I17" s="48" t="s">
        <v>26</v>
      </c>
      <c r="M17" s="48" t="s">
        <v>3</v>
      </c>
      <c r="N17" s="48" t="s">
        <v>4</v>
      </c>
      <c r="O17" s="49" t="s">
        <v>92</v>
      </c>
      <c r="P17" s="48" t="s">
        <v>93</v>
      </c>
      <c r="Q17" s="48" t="s">
        <v>7</v>
      </c>
      <c r="R17" s="48" t="s">
        <v>8</v>
      </c>
      <c r="S17" s="48" t="s">
        <v>91</v>
      </c>
      <c r="T17" s="48" t="s">
        <v>26</v>
      </c>
    </row>
    <row r="18" spans="2:20" x14ac:dyDescent="0.2">
      <c r="B18" s="38" t="s">
        <v>30</v>
      </c>
      <c r="C18" s="38" t="s">
        <v>29</v>
      </c>
      <c r="D18" s="39">
        <f>D8</f>
        <v>2.0799999999999999E-2</v>
      </c>
      <c r="E18" s="59">
        <v>4</v>
      </c>
      <c r="F18" s="38">
        <v>30</v>
      </c>
      <c r="G18" s="38">
        <v>5</v>
      </c>
      <c r="H18" s="38">
        <f>E18*F18*G18</f>
        <v>600</v>
      </c>
      <c r="I18" s="40">
        <f>D18*H18</f>
        <v>12.479999999999999</v>
      </c>
      <c r="M18" s="38" t="s">
        <v>30</v>
      </c>
      <c r="N18" s="38" t="s">
        <v>29</v>
      </c>
      <c r="O18" s="39">
        <f>O8</f>
        <v>2.0920476190476191E-2</v>
      </c>
      <c r="P18" s="38">
        <v>4</v>
      </c>
      <c r="Q18" s="38">
        <v>30</v>
      </c>
      <c r="R18" s="38">
        <v>5</v>
      </c>
      <c r="S18" s="38">
        <f>P18*Q18*R18</f>
        <v>600</v>
      </c>
      <c r="T18" s="40">
        <f>O18*S18</f>
        <v>12.552285714285714</v>
      </c>
    </row>
    <row r="19" spans="2:20" x14ac:dyDescent="0.2">
      <c r="B19" s="38" t="s">
        <v>72</v>
      </c>
      <c r="C19" s="38" t="s">
        <v>29</v>
      </c>
      <c r="D19" s="39">
        <f>D10</f>
        <v>0.26429999999999998</v>
      </c>
      <c r="E19" s="59">
        <v>1.5</v>
      </c>
      <c r="F19" s="38">
        <v>30</v>
      </c>
      <c r="G19" s="38">
        <v>5</v>
      </c>
      <c r="H19" s="38">
        <f>E19*F19*G19</f>
        <v>225</v>
      </c>
      <c r="I19" s="40">
        <f>D19*H19</f>
        <v>59.467499999999994</v>
      </c>
      <c r="M19" s="38" t="s">
        <v>72</v>
      </c>
      <c r="N19" s="38" t="s">
        <v>29</v>
      </c>
      <c r="O19" s="39">
        <f>O10</f>
        <v>0.21953500000000001</v>
      </c>
      <c r="P19" s="38">
        <v>1.5</v>
      </c>
      <c r="Q19" s="38">
        <v>30</v>
      </c>
      <c r="R19" s="38">
        <v>5</v>
      </c>
      <c r="S19" s="38">
        <f>P19*Q19*R19</f>
        <v>225</v>
      </c>
      <c r="T19" s="40">
        <f>O19*S19</f>
        <v>49.395375000000001</v>
      </c>
    </row>
    <row r="20" spans="2:20" x14ac:dyDescent="0.2">
      <c r="B20" s="38" t="s">
        <v>77</v>
      </c>
      <c r="C20" s="38" t="s">
        <v>1</v>
      </c>
      <c r="D20" s="39">
        <f>D11</f>
        <v>8.2000000000000003E-2</v>
      </c>
      <c r="E20" s="59">
        <v>2</v>
      </c>
      <c r="F20" s="38">
        <v>30</v>
      </c>
      <c r="G20" s="38">
        <v>5</v>
      </c>
      <c r="H20" s="38">
        <f>E20*F20*G20</f>
        <v>300</v>
      </c>
      <c r="I20" s="40">
        <f>D20*H20</f>
        <v>24.6</v>
      </c>
      <c r="M20" s="38" t="s">
        <v>77</v>
      </c>
      <c r="N20" s="38" t="s">
        <v>0</v>
      </c>
      <c r="O20" s="39">
        <f>O11</f>
        <v>0.10357</v>
      </c>
      <c r="P20" s="38">
        <v>2</v>
      </c>
      <c r="Q20" s="38">
        <v>30</v>
      </c>
      <c r="R20" s="38">
        <v>5</v>
      </c>
      <c r="S20" s="38">
        <f>P20*Q20*R20</f>
        <v>300</v>
      </c>
      <c r="T20" s="40">
        <f>O20*S20</f>
        <v>31.070999999999998</v>
      </c>
    </row>
    <row r="21" spans="2:20" x14ac:dyDescent="0.2">
      <c r="B21" s="38" t="s">
        <v>73</v>
      </c>
      <c r="C21" s="38" t="s">
        <v>33</v>
      </c>
      <c r="D21" s="39">
        <f>D12</f>
        <v>0.98240000000000005</v>
      </c>
      <c r="E21" s="59">
        <v>1</v>
      </c>
      <c r="F21" s="38">
        <v>30</v>
      </c>
      <c r="G21" s="38">
        <v>5</v>
      </c>
      <c r="H21" s="38">
        <f>E21*F21*G21</f>
        <v>150</v>
      </c>
      <c r="I21" s="40">
        <f>D21*H21</f>
        <v>147.36000000000001</v>
      </c>
      <c r="M21" s="38" t="s">
        <v>73</v>
      </c>
      <c r="N21" s="38" t="s">
        <v>33</v>
      </c>
      <c r="O21" s="39">
        <f>O12</f>
        <v>0.54</v>
      </c>
      <c r="P21" s="38">
        <v>1</v>
      </c>
      <c r="Q21" s="38">
        <v>30</v>
      </c>
      <c r="R21" s="38">
        <v>5</v>
      </c>
      <c r="S21" s="38">
        <f>P21*Q21*R21</f>
        <v>150</v>
      </c>
      <c r="T21" s="40">
        <f>O21*S21</f>
        <v>81</v>
      </c>
    </row>
    <row r="22" spans="2:20" x14ac:dyDescent="0.2">
      <c r="F22" s="43"/>
      <c r="G22" s="44"/>
      <c r="H22" s="45" t="s">
        <v>48</v>
      </c>
      <c r="I22" s="46">
        <f>SUM(I18:I21)</f>
        <v>243.9075</v>
      </c>
      <c r="Q22" s="43"/>
      <c r="R22" s="44"/>
      <c r="S22" s="45" t="s">
        <v>48</v>
      </c>
      <c r="T22" s="46">
        <f>SUM(T18:T21)</f>
        <v>174.01866071428572</v>
      </c>
    </row>
    <row r="23" spans="2:20" ht="13.5" thickBot="1" x14ac:dyDescent="0.25"/>
    <row r="24" spans="2:20" ht="13.5" thickBot="1" x14ac:dyDescent="0.25">
      <c r="H24" s="50" t="s">
        <v>34</v>
      </c>
      <c r="I24" s="51">
        <f>I15+I22</f>
        <v>561.71669999999995</v>
      </c>
      <c r="S24" s="50" t="s">
        <v>34</v>
      </c>
      <c r="T24" s="51">
        <f>T15+T22</f>
        <v>406.10273214285712</v>
      </c>
    </row>
  </sheetData>
  <mergeCells count="6">
    <mergeCell ref="B2:I2"/>
    <mergeCell ref="M2:T2"/>
    <mergeCell ref="B3:I3"/>
    <mergeCell ref="M3:T3"/>
    <mergeCell ref="B4:I4"/>
    <mergeCell ref="M4:T4"/>
  </mergeCells>
  <pageMargins left="0.75" right="0.75" top="1" bottom="1" header="0.5" footer="0.5"/>
  <pageSetup paperSize="9" orientation="portrait" r:id="rId1"/>
  <headerFooter alignWithMargins="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E63E1-75AE-43F0-9B7E-88B13342ADEB}">
  <sheetPr>
    <tabColor rgb="FFFFC000"/>
  </sheetPr>
  <dimension ref="B1:T24"/>
  <sheetViews>
    <sheetView showGridLines="0" zoomScaleNormal="100" workbookViewId="0"/>
  </sheetViews>
  <sheetFormatPr defaultRowHeight="12.75" x14ac:dyDescent="0.2"/>
  <cols>
    <col min="1" max="1" width="9.140625" style="1"/>
    <col min="2" max="2" width="16.28515625" style="1" bestFit="1" customWidth="1"/>
    <col min="3" max="3" width="9" style="1" customWidth="1"/>
    <col min="4" max="4" width="9.5703125" style="26" customWidth="1"/>
    <col min="5" max="5" width="9.85546875" style="1" customWidth="1"/>
    <col min="6" max="6" width="15.7109375" style="1" customWidth="1"/>
    <col min="7" max="7" width="7.5703125" style="1" customWidth="1"/>
    <col min="8" max="8" width="9.28515625" style="1" customWidth="1"/>
    <col min="9" max="9" width="12.28515625" style="1" customWidth="1"/>
    <col min="11" max="11" width="9.140625" style="14"/>
    <col min="13" max="13" width="16.28515625" style="1" bestFit="1" customWidth="1"/>
    <col min="14" max="14" width="9" style="1" customWidth="1"/>
    <col min="15" max="15" width="9.5703125" style="26" customWidth="1"/>
    <col min="16" max="16" width="10" style="1" customWidth="1"/>
    <col min="17" max="17" width="8.85546875" style="1" bestFit="1" customWidth="1"/>
    <col min="18" max="18" width="7.5703125" style="1" customWidth="1"/>
    <col min="19" max="19" width="14.42578125" style="1" customWidth="1"/>
    <col min="20" max="20" width="12.28515625" style="1" customWidth="1"/>
    <col min="21" max="16384" width="9.140625" style="1"/>
  </cols>
  <sheetData>
    <row r="1" spans="2:20" ht="15.75" x14ac:dyDescent="0.25">
      <c r="B1" s="30" t="s">
        <v>98</v>
      </c>
      <c r="M1" s="30" t="s">
        <v>98</v>
      </c>
    </row>
    <row r="2" spans="2:20" ht="15.75" x14ac:dyDescent="0.25">
      <c r="B2" s="122">
        <v>2018</v>
      </c>
      <c r="C2" s="122"/>
      <c r="D2" s="122"/>
      <c r="E2" s="122"/>
      <c r="F2" s="122"/>
      <c r="G2" s="122"/>
      <c r="H2" s="122"/>
      <c r="I2" s="122"/>
      <c r="M2" s="122">
        <v>2019</v>
      </c>
      <c r="N2" s="122"/>
      <c r="O2" s="122"/>
      <c r="P2" s="122"/>
      <c r="Q2" s="122"/>
      <c r="R2" s="122"/>
      <c r="S2" s="122"/>
      <c r="T2" s="122"/>
    </row>
    <row r="3" spans="2:20" ht="15.75" customHeight="1" x14ac:dyDescent="0.25">
      <c r="B3" s="122" t="s">
        <v>49</v>
      </c>
      <c r="C3" s="122"/>
      <c r="D3" s="122"/>
      <c r="E3" s="122"/>
      <c r="F3" s="122"/>
      <c r="G3" s="122"/>
      <c r="H3" s="122"/>
      <c r="I3" s="122"/>
      <c r="M3" s="122" t="s">
        <v>49</v>
      </c>
      <c r="N3" s="122"/>
      <c r="O3" s="122"/>
      <c r="P3" s="122"/>
      <c r="Q3" s="122"/>
      <c r="R3" s="122"/>
      <c r="S3" s="122"/>
      <c r="T3" s="122"/>
    </row>
    <row r="4" spans="2:20" ht="15.75" x14ac:dyDescent="0.25">
      <c r="B4" s="122" t="s">
        <v>62</v>
      </c>
      <c r="C4" s="122"/>
      <c r="D4" s="122"/>
      <c r="E4" s="122"/>
      <c r="F4" s="122"/>
      <c r="G4" s="122"/>
      <c r="H4" s="122"/>
      <c r="I4" s="122"/>
      <c r="M4" s="122" t="s">
        <v>62</v>
      </c>
      <c r="N4" s="122"/>
      <c r="O4" s="122"/>
      <c r="P4" s="122"/>
      <c r="Q4" s="122"/>
      <c r="R4" s="122"/>
      <c r="S4" s="122"/>
      <c r="T4" s="122"/>
    </row>
    <row r="6" spans="2:20" x14ac:dyDescent="0.2">
      <c r="B6" s="16" t="s">
        <v>2</v>
      </c>
      <c r="M6" s="16" t="s">
        <v>2</v>
      </c>
    </row>
    <row r="7" spans="2:20" ht="76.5" x14ac:dyDescent="0.2">
      <c r="B7" s="17" t="s">
        <v>3</v>
      </c>
      <c r="C7" s="17" t="s">
        <v>4</v>
      </c>
      <c r="D7" s="27" t="s">
        <v>92</v>
      </c>
      <c r="E7" s="17" t="s">
        <v>93</v>
      </c>
      <c r="F7" s="17" t="s">
        <v>7</v>
      </c>
      <c r="G7" s="17" t="s">
        <v>8</v>
      </c>
      <c r="H7" s="17" t="s">
        <v>91</v>
      </c>
      <c r="I7" s="17" t="s">
        <v>10</v>
      </c>
      <c r="M7" s="17" t="s">
        <v>3</v>
      </c>
      <c r="N7" s="17" t="s">
        <v>4</v>
      </c>
      <c r="O7" s="27" t="s">
        <v>92</v>
      </c>
      <c r="P7" s="17" t="s">
        <v>93</v>
      </c>
      <c r="Q7" s="17" t="s">
        <v>7</v>
      </c>
      <c r="R7" s="17" t="s">
        <v>8</v>
      </c>
      <c r="S7" s="17" t="s">
        <v>91</v>
      </c>
      <c r="T7" s="17" t="s">
        <v>10</v>
      </c>
    </row>
    <row r="8" spans="2:20" x14ac:dyDescent="0.2">
      <c r="B8" s="2" t="s">
        <v>30</v>
      </c>
      <c r="C8" s="2" t="s">
        <v>29</v>
      </c>
      <c r="D8" s="25">
        <v>2.0799999999999999E-2</v>
      </c>
      <c r="E8" s="20">
        <v>4</v>
      </c>
      <c r="F8" s="2">
        <v>30</v>
      </c>
      <c r="G8" s="2">
        <v>4</v>
      </c>
      <c r="H8" s="2">
        <f t="shared" ref="H8:H14" si="0">E8*F8*G8</f>
        <v>480</v>
      </c>
      <c r="I8" s="3">
        <f t="shared" ref="I8:I14" si="1">D8*H8</f>
        <v>9.984</v>
      </c>
      <c r="M8" s="2" t="s">
        <v>30</v>
      </c>
      <c r="N8" s="2" t="s">
        <v>29</v>
      </c>
      <c r="O8" s="67">
        <v>2.0799999999999999E-2</v>
      </c>
      <c r="P8" s="2">
        <v>4</v>
      </c>
      <c r="Q8" s="2">
        <v>30</v>
      </c>
      <c r="R8" s="2">
        <v>4</v>
      </c>
      <c r="S8" s="2">
        <f t="shared" ref="S8:S14" si="2">P8*Q8*R8</f>
        <v>480</v>
      </c>
      <c r="T8" s="3">
        <f t="shared" ref="T8:T14" si="3">O8*S8</f>
        <v>9.984</v>
      </c>
    </row>
    <row r="9" spans="2:20" x14ac:dyDescent="0.2">
      <c r="B9" s="2" t="s">
        <v>25</v>
      </c>
      <c r="C9" s="2" t="s">
        <v>11</v>
      </c>
      <c r="D9" s="25">
        <v>0.92</v>
      </c>
      <c r="E9" s="20">
        <v>1</v>
      </c>
      <c r="F9" s="2">
        <v>30</v>
      </c>
      <c r="G9" s="2">
        <v>4</v>
      </c>
      <c r="H9" s="2">
        <f t="shared" si="0"/>
        <v>120</v>
      </c>
      <c r="I9" s="3">
        <f t="shared" si="1"/>
        <v>110.4</v>
      </c>
      <c r="M9" s="2" t="s">
        <v>25</v>
      </c>
      <c r="N9" s="2" t="s">
        <v>11</v>
      </c>
      <c r="O9" s="67">
        <v>0.66700000000000004</v>
      </c>
      <c r="P9" s="2">
        <v>1</v>
      </c>
      <c r="Q9" s="2">
        <v>30</v>
      </c>
      <c r="R9" s="2">
        <v>4</v>
      </c>
      <c r="S9" s="2">
        <f t="shared" si="2"/>
        <v>120</v>
      </c>
      <c r="T9" s="3">
        <f t="shared" si="3"/>
        <v>80.040000000000006</v>
      </c>
    </row>
    <row r="10" spans="2:20" x14ac:dyDescent="0.2">
      <c r="B10" s="2" t="s">
        <v>72</v>
      </c>
      <c r="C10" s="2" t="s">
        <v>29</v>
      </c>
      <c r="D10" s="25">
        <v>0.20949999999999999</v>
      </c>
      <c r="E10" s="20">
        <v>1.5</v>
      </c>
      <c r="F10" s="2">
        <v>30</v>
      </c>
      <c r="G10" s="2">
        <v>4</v>
      </c>
      <c r="H10" s="2">
        <f t="shared" si="0"/>
        <v>180</v>
      </c>
      <c r="I10" s="3">
        <f t="shared" si="1"/>
        <v>37.71</v>
      </c>
      <c r="M10" s="2" t="s">
        <v>72</v>
      </c>
      <c r="N10" s="2" t="s">
        <v>29</v>
      </c>
      <c r="O10" s="66">
        <v>0.16899999999999998</v>
      </c>
      <c r="P10" s="2">
        <v>1.5</v>
      </c>
      <c r="Q10" s="2">
        <v>30</v>
      </c>
      <c r="R10" s="2">
        <v>4</v>
      </c>
      <c r="S10" s="2">
        <f t="shared" si="2"/>
        <v>180</v>
      </c>
      <c r="T10" s="3">
        <f t="shared" si="3"/>
        <v>30.419999999999998</v>
      </c>
    </row>
    <row r="11" spans="2:20" x14ac:dyDescent="0.2">
      <c r="B11" s="2" t="s">
        <v>77</v>
      </c>
      <c r="C11" s="2" t="s">
        <v>0</v>
      </c>
      <c r="D11" s="25">
        <v>8.2000000000000003E-2</v>
      </c>
      <c r="E11" s="20">
        <v>2</v>
      </c>
      <c r="F11" s="2">
        <v>30</v>
      </c>
      <c r="G11" s="2">
        <v>4</v>
      </c>
      <c r="H11" s="2">
        <f t="shared" si="0"/>
        <v>240</v>
      </c>
      <c r="I11" s="3">
        <f t="shared" si="1"/>
        <v>19.68</v>
      </c>
      <c r="M11" s="2" t="s">
        <v>77</v>
      </c>
      <c r="N11" s="2" t="s">
        <v>0</v>
      </c>
      <c r="O11" s="67">
        <v>8.7400000000000005E-2</v>
      </c>
      <c r="P11" s="2">
        <v>2</v>
      </c>
      <c r="Q11" s="2">
        <v>30</v>
      </c>
      <c r="R11" s="2">
        <v>4</v>
      </c>
      <c r="S11" s="2">
        <f t="shared" si="2"/>
        <v>240</v>
      </c>
      <c r="T11" s="3">
        <f t="shared" si="3"/>
        <v>20.976000000000003</v>
      </c>
    </row>
    <row r="12" spans="2:20" x14ac:dyDescent="0.2">
      <c r="B12" s="2" t="s">
        <v>73</v>
      </c>
      <c r="C12" s="2" t="s">
        <v>33</v>
      </c>
      <c r="D12" s="25">
        <v>0.98240000000000005</v>
      </c>
      <c r="E12" s="20">
        <v>1</v>
      </c>
      <c r="F12" s="2">
        <v>30</v>
      </c>
      <c r="G12" s="4">
        <v>4</v>
      </c>
      <c r="H12" s="2">
        <f t="shared" si="0"/>
        <v>120</v>
      </c>
      <c r="I12" s="3">
        <f t="shared" si="1"/>
        <v>117.88800000000001</v>
      </c>
      <c r="M12" s="2" t="s">
        <v>73</v>
      </c>
      <c r="N12" s="2" t="s">
        <v>33</v>
      </c>
      <c r="O12" s="67">
        <v>0.5</v>
      </c>
      <c r="P12" s="2">
        <v>1</v>
      </c>
      <c r="Q12" s="2">
        <v>30</v>
      </c>
      <c r="R12" s="4">
        <v>4</v>
      </c>
      <c r="S12" s="2">
        <f t="shared" si="2"/>
        <v>120</v>
      </c>
      <c r="T12" s="3">
        <f t="shared" si="3"/>
        <v>60</v>
      </c>
    </row>
    <row r="13" spans="2:20" x14ac:dyDescent="0.2">
      <c r="B13" s="2" t="s">
        <v>31</v>
      </c>
      <c r="C13" s="2" t="s">
        <v>1</v>
      </c>
      <c r="D13" s="25">
        <v>2.98E-2</v>
      </c>
      <c r="E13" s="20">
        <v>2</v>
      </c>
      <c r="F13" s="2">
        <v>30</v>
      </c>
      <c r="G13" s="4">
        <v>4</v>
      </c>
      <c r="H13" s="2">
        <f t="shared" si="0"/>
        <v>240</v>
      </c>
      <c r="I13" s="3">
        <f t="shared" si="1"/>
        <v>7.1520000000000001</v>
      </c>
      <c r="M13" s="2" t="s">
        <v>31</v>
      </c>
      <c r="N13" s="2" t="s">
        <v>1</v>
      </c>
      <c r="O13" s="67">
        <v>3.0059523809523807E-2</v>
      </c>
      <c r="P13" s="2">
        <v>2</v>
      </c>
      <c r="Q13" s="2">
        <v>30</v>
      </c>
      <c r="R13" s="4">
        <v>4</v>
      </c>
      <c r="S13" s="2">
        <f t="shared" si="2"/>
        <v>240</v>
      </c>
      <c r="T13" s="3">
        <f t="shared" si="3"/>
        <v>7.2142857142857135</v>
      </c>
    </row>
    <row r="14" spans="2:20" x14ac:dyDescent="0.2">
      <c r="B14" s="2" t="s">
        <v>74</v>
      </c>
      <c r="C14" s="2" t="s">
        <v>32</v>
      </c>
      <c r="D14" s="25">
        <v>1.9199999999999998E-2</v>
      </c>
      <c r="E14" s="20">
        <v>2</v>
      </c>
      <c r="F14" s="4">
        <v>30</v>
      </c>
      <c r="G14" s="4">
        <v>4</v>
      </c>
      <c r="H14" s="4">
        <f t="shared" si="0"/>
        <v>240</v>
      </c>
      <c r="I14" s="3">
        <f t="shared" si="1"/>
        <v>4.6079999999999997</v>
      </c>
      <c r="M14" s="2" t="s">
        <v>74</v>
      </c>
      <c r="N14" s="2" t="s">
        <v>32</v>
      </c>
      <c r="O14" s="67">
        <v>1.7738095238095237E-2</v>
      </c>
      <c r="P14" s="2">
        <v>2</v>
      </c>
      <c r="Q14" s="4">
        <v>30</v>
      </c>
      <c r="R14" s="4">
        <v>4</v>
      </c>
      <c r="S14" s="4">
        <f t="shared" si="2"/>
        <v>240</v>
      </c>
      <c r="T14" s="3">
        <f t="shared" si="3"/>
        <v>4.2571428571428571</v>
      </c>
    </row>
    <row r="15" spans="2:20" x14ac:dyDescent="0.2">
      <c r="F15" s="5"/>
      <c r="G15" s="6"/>
      <c r="H15" s="7" t="s">
        <v>14</v>
      </c>
      <c r="I15" s="8">
        <f>SUM(I8:I14)</f>
        <v>307.42200000000003</v>
      </c>
      <c r="Q15" s="5"/>
      <c r="R15" s="6"/>
      <c r="S15" s="7" t="s">
        <v>14</v>
      </c>
      <c r="T15" s="8">
        <f>SUM(T8:T14)</f>
        <v>212.89142857142861</v>
      </c>
    </row>
    <row r="16" spans="2:20" x14ac:dyDescent="0.2">
      <c r="B16" s="18" t="s">
        <v>15</v>
      </c>
      <c r="M16" s="18" t="s">
        <v>15</v>
      </c>
    </row>
    <row r="17" spans="2:20" ht="76.5" x14ac:dyDescent="0.2">
      <c r="B17" s="19" t="s">
        <v>3</v>
      </c>
      <c r="C17" s="19" t="s">
        <v>4</v>
      </c>
      <c r="D17" s="28" t="s">
        <v>92</v>
      </c>
      <c r="E17" s="19" t="s">
        <v>93</v>
      </c>
      <c r="F17" s="19" t="s">
        <v>7</v>
      </c>
      <c r="G17" s="19" t="s">
        <v>8</v>
      </c>
      <c r="H17" s="19" t="s">
        <v>91</v>
      </c>
      <c r="I17" s="19" t="s">
        <v>26</v>
      </c>
      <c r="M17" s="19" t="s">
        <v>3</v>
      </c>
      <c r="N17" s="19" t="s">
        <v>4</v>
      </c>
      <c r="O17" s="28" t="s">
        <v>92</v>
      </c>
      <c r="P17" s="19" t="s">
        <v>93</v>
      </c>
      <c r="Q17" s="19" t="s">
        <v>7</v>
      </c>
      <c r="R17" s="19" t="s">
        <v>8</v>
      </c>
      <c r="S17" s="19" t="s">
        <v>91</v>
      </c>
      <c r="T17" s="19" t="s">
        <v>26</v>
      </c>
    </row>
    <row r="18" spans="2:20" x14ac:dyDescent="0.2">
      <c r="B18" s="2" t="s">
        <v>30</v>
      </c>
      <c r="C18" s="2" t="s">
        <v>29</v>
      </c>
      <c r="D18" s="25">
        <f>D8</f>
        <v>2.0799999999999999E-2</v>
      </c>
      <c r="E18" s="20">
        <v>4</v>
      </c>
      <c r="F18" s="2">
        <v>30</v>
      </c>
      <c r="G18" s="2">
        <v>5</v>
      </c>
      <c r="H18" s="2">
        <f>E18*F18*G18</f>
        <v>600</v>
      </c>
      <c r="I18" s="3">
        <f>D18*H18</f>
        <v>12.479999999999999</v>
      </c>
      <c r="M18" s="2" t="s">
        <v>30</v>
      </c>
      <c r="N18" s="2" t="s">
        <v>29</v>
      </c>
      <c r="O18" s="25">
        <f>O8</f>
        <v>2.0799999999999999E-2</v>
      </c>
      <c r="P18" s="2">
        <v>4</v>
      </c>
      <c r="Q18" s="2">
        <v>30</v>
      </c>
      <c r="R18" s="2">
        <v>5</v>
      </c>
      <c r="S18" s="2">
        <f>P18*Q18*R18</f>
        <v>600</v>
      </c>
      <c r="T18" s="3">
        <f>O18*S18</f>
        <v>12.479999999999999</v>
      </c>
    </row>
    <row r="19" spans="2:20" x14ac:dyDescent="0.2">
      <c r="B19" s="2" t="s">
        <v>72</v>
      </c>
      <c r="C19" s="2" t="s">
        <v>29</v>
      </c>
      <c r="D19" s="25">
        <f>D10</f>
        <v>0.20949999999999999</v>
      </c>
      <c r="E19" s="20">
        <v>1.5</v>
      </c>
      <c r="F19" s="2">
        <v>30</v>
      </c>
      <c r="G19" s="2">
        <v>5</v>
      </c>
      <c r="H19" s="2">
        <f>E19*F19*G19</f>
        <v>225</v>
      </c>
      <c r="I19" s="3">
        <f>D19*H19</f>
        <v>47.137499999999996</v>
      </c>
      <c r="M19" s="2" t="s">
        <v>72</v>
      </c>
      <c r="N19" s="2" t="s">
        <v>29</v>
      </c>
      <c r="O19" s="25">
        <f>O10</f>
        <v>0.16899999999999998</v>
      </c>
      <c r="P19" s="2">
        <v>1.5</v>
      </c>
      <c r="Q19" s="2">
        <v>30</v>
      </c>
      <c r="R19" s="2">
        <v>5</v>
      </c>
      <c r="S19" s="2">
        <f>P19*Q19*R19</f>
        <v>225</v>
      </c>
      <c r="T19" s="3">
        <f>O19*S19</f>
        <v>38.024999999999999</v>
      </c>
    </row>
    <row r="20" spans="2:20" x14ac:dyDescent="0.2">
      <c r="B20" s="2" t="s">
        <v>77</v>
      </c>
      <c r="C20" s="2" t="s">
        <v>1</v>
      </c>
      <c r="D20" s="25">
        <f>+D11</f>
        <v>8.2000000000000003E-2</v>
      </c>
      <c r="E20" s="20">
        <v>2</v>
      </c>
      <c r="F20" s="2">
        <v>30</v>
      </c>
      <c r="G20" s="2">
        <v>5</v>
      </c>
      <c r="H20" s="2">
        <f>E20*F20*G20</f>
        <v>300</v>
      </c>
      <c r="I20" s="3">
        <f>D20*H20</f>
        <v>24.6</v>
      </c>
      <c r="M20" s="2" t="s">
        <v>77</v>
      </c>
      <c r="N20" s="2" t="s">
        <v>0</v>
      </c>
      <c r="O20" s="25">
        <f>O11</f>
        <v>8.7400000000000005E-2</v>
      </c>
      <c r="P20" s="2">
        <v>2</v>
      </c>
      <c r="Q20" s="2">
        <v>30</v>
      </c>
      <c r="R20" s="2">
        <v>5</v>
      </c>
      <c r="S20" s="2">
        <f>P20*Q20*R20</f>
        <v>300</v>
      </c>
      <c r="T20" s="3">
        <f>O20*S20</f>
        <v>26.220000000000002</v>
      </c>
    </row>
    <row r="21" spans="2:20" x14ac:dyDescent="0.2">
      <c r="B21" s="2" t="s">
        <v>73</v>
      </c>
      <c r="C21" s="2" t="s">
        <v>33</v>
      </c>
      <c r="D21" s="25">
        <f>D12</f>
        <v>0.98240000000000005</v>
      </c>
      <c r="E21" s="20">
        <v>1</v>
      </c>
      <c r="F21" s="2">
        <v>30</v>
      </c>
      <c r="G21" s="2">
        <v>5</v>
      </c>
      <c r="H21" s="2">
        <f>E21*F21*G21</f>
        <v>150</v>
      </c>
      <c r="I21" s="3">
        <f>D21*H21</f>
        <v>147.36000000000001</v>
      </c>
      <c r="M21" s="2" t="s">
        <v>73</v>
      </c>
      <c r="N21" s="2" t="s">
        <v>33</v>
      </c>
      <c r="O21" s="25">
        <f>O12</f>
        <v>0.5</v>
      </c>
      <c r="P21" s="2">
        <v>1</v>
      </c>
      <c r="Q21" s="2">
        <v>30</v>
      </c>
      <c r="R21" s="2">
        <v>5</v>
      </c>
      <c r="S21" s="2">
        <f>P21*Q21*R21</f>
        <v>150</v>
      </c>
      <c r="T21" s="3">
        <f>O21*S21</f>
        <v>75</v>
      </c>
    </row>
    <row r="22" spans="2:20" x14ac:dyDescent="0.2">
      <c r="F22" s="5"/>
      <c r="G22" s="6"/>
      <c r="H22" s="7" t="s">
        <v>48</v>
      </c>
      <c r="I22" s="8">
        <f>SUM(I18:I21)</f>
        <v>231.57750000000001</v>
      </c>
      <c r="Q22" s="5"/>
      <c r="R22" s="6"/>
      <c r="S22" s="7" t="s">
        <v>48</v>
      </c>
      <c r="T22" s="8">
        <f>SUM(T18:T21)</f>
        <v>151.72499999999999</v>
      </c>
    </row>
    <row r="23" spans="2:20" ht="13.5" thickBot="1" x14ac:dyDescent="0.25"/>
    <row r="24" spans="2:20" ht="13.5" thickBot="1" x14ac:dyDescent="0.25">
      <c r="H24" s="9" t="s">
        <v>34</v>
      </c>
      <c r="I24" s="11">
        <f>I15+I22</f>
        <v>538.99950000000001</v>
      </c>
      <c r="S24" s="9" t="s">
        <v>34</v>
      </c>
      <c r="T24" s="11">
        <f>T15+T22</f>
        <v>364.61642857142863</v>
      </c>
    </row>
  </sheetData>
  <mergeCells count="6">
    <mergeCell ref="B2:I2"/>
    <mergeCell ref="M2:T2"/>
    <mergeCell ref="B3:I3"/>
    <mergeCell ref="M3:T3"/>
    <mergeCell ref="B4:I4"/>
    <mergeCell ref="M4:T4"/>
  </mergeCells>
  <pageMargins left="0.75" right="0.75" top="1" bottom="1" header="0.5" footer="0.5"/>
  <pageSetup paperSize="9" orientation="portrait" r:id="rId1"/>
  <headerFooter alignWithMargins="0"/>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A0E1F-0123-416A-8B08-C6231ABF115B}">
  <sheetPr>
    <tabColor theme="9" tint="0.59999389629810485"/>
  </sheetPr>
  <dimension ref="B3:T30"/>
  <sheetViews>
    <sheetView showGridLines="0" workbookViewId="0"/>
  </sheetViews>
  <sheetFormatPr defaultRowHeight="12.75" x14ac:dyDescent="0.2"/>
  <cols>
    <col min="1" max="1" width="9.140625" style="31"/>
    <col min="2" max="2" width="14.140625" style="31" customWidth="1"/>
    <col min="3" max="7" width="9.140625" style="31"/>
    <col min="8" max="8" width="9.85546875" style="31" customWidth="1"/>
    <col min="9" max="9" width="11.140625" style="31" customWidth="1"/>
    <col min="11" max="11" width="9.140625" style="14"/>
    <col min="13" max="13" width="14.5703125" style="31" customWidth="1"/>
    <col min="14" max="18" width="9.140625" style="31"/>
    <col min="19" max="19" width="10" style="31" customWidth="1"/>
    <col min="20" max="16384" width="9.140625" style="31"/>
  </cols>
  <sheetData>
    <row r="3" spans="2:20" x14ac:dyDescent="0.2">
      <c r="B3" s="34"/>
      <c r="C3" s="34"/>
      <c r="D3" s="35"/>
      <c r="E3" s="34"/>
      <c r="F3" s="34"/>
      <c r="G3" s="34"/>
      <c r="H3" s="34"/>
      <c r="I3" s="34"/>
      <c r="M3" s="34"/>
      <c r="N3" s="34"/>
      <c r="O3" s="34"/>
      <c r="P3" s="34"/>
      <c r="Q3" s="34"/>
      <c r="R3" s="34"/>
      <c r="S3" s="34"/>
      <c r="T3" s="34"/>
    </row>
    <row r="4" spans="2:20" ht="15.75" x14ac:dyDescent="0.25">
      <c r="B4" s="123">
        <v>2018</v>
      </c>
      <c r="C4" s="123"/>
      <c r="D4" s="123"/>
      <c r="E4" s="123"/>
      <c r="F4" s="123"/>
      <c r="G4" s="123"/>
      <c r="H4" s="123"/>
      <c r="I4" s="123"/>
      <c r="M4" s="123">
        <v>2019</v>
      </c>
      <c r="N4" s="123"/>
      <c r="O4" s="123"/>
      <c r="P4" s="123"/>
      <c r="Q4" s="123"/>
      <c r="R4" s="123"/>
      <c r="S4" s="123"/>
      <c r="T4" s="123"/>
    </row>
    <row r="5" spans="2:20" ht="15.75" x14ac:dyDescent="0.25">
      <c r="B5" s="123" t="str">
        <f>M5</f>
        <v>Treatment regimen: 6 Mfx Bdq Lzd Cs Cfz / 14 Mfx Cs Cfz</v>
      </c>
      <c r="C5" s="123"/>
      <c r="D5" s="123"/>
      <c r="E5" s="123"/>
      <c r="F5" s="123"/>
      <c r="G5" s="123"/>
      <c r="H5" s="123"/>
      <c r="I5" s="123"/>
      <c r="M5" s="123" t="s">
        <v>110</v>
      </c>
      <c r="N5" s="123"/>
      <c r="O5" s="123"/>
      <c r="P5" s="123"/>
      <c r="Q5" s="123"/>
      <c r="R5" s="123"/>
      <c r="S5" s="123"/>
      <c r="T5" s="123"/>
    </row>
    <row r="6" spans="2:20" ht="15.75" x14ac:dyDescent="0.25">
      <c r="B6" s="123" t="s">
        <v>63</v>
      </c>
      <c r="C6" s="123"/>
      <c r="D6" s="123"/>
      <c r="E6" s="123"/>
      <c r="F6" s="123"/>
      <c r="G6" s="123"/>
      <c r="H6" s="123"/>
      <c r="I6" s="123"/>
      <c r="M6" s="123" t="s">
        <v>63</v>
      </c>
      <c r="N6" s="123"/>
      <c r="O6" s="123"/>
      <c r="P6" s="123"/>
      <c r="Q6" s="123"/>
      <c r="R6" s="123"/>
      <c r="S6" s="123"/>
      <c r="T6" s="123"/>
    </row>
    <row r="7" spans="2:20" ht="15.75" x14ac:dyDescent="0.25">
      <c r="B7" s="34"/>
      <c r="C7" s="60"/>
      <c r="D7" s="60"/>
      <c r="E7" s="60"/>
      <c r="F7" s="60"/>
      <c r="G7" s="60"/>
      <c r="H7" s="60"/>
      <c r="I7" s="60"/>
      <c r="M7" s="34" t="s">
        <v>111</v>
      </c>
      <c r="N7" s="60"/>
      <c r="O7" s="60"/>
      <c r="P7" s="60"/>
      <c r="Q7" s="60"/>
      <c r="R7" s="60"/>
      <c r="S7" s="60"/>
      <c r="T7" s="60"/>
    </row>
    <row r="8" spans="2:20" x14ac:dyDescent="0.2">
      <c r="B8" s="34"/>
      <c r="C8" s="34"/>
      <c r="D8" s="35"/>
      <c r="E8" s="34"/>
      <c r="F8" s="34"/>
      <c r="G8" s="34"/>
      <c r="H8" s="34"/>
      <c r="I8" s="34"/>
      <c r="M8" s="34"/>
      <c r="N8" s="34"/>
      <c r="O8" s="34"/>
      <c r="P8" s="34"/>
      <c r="Q8" s="34"/>
      <c r="R8" s="34"/>
      <c r="S8" s="34"/>
      <c r="T8" s="34"/>
    </row>
    <row r="9" spans="2:20" ht="76.5" x14ac:dyDescent="0.2">
      <c r="B9" s="36" t="s">
        <v>3</v>
      </c>
      <c r="C9" s="36" t="s">
        <v>4</v>
      </c>
      <c r="D9" s="36" t="s">
        <v>92</v>
      </c>
      <c r="E9" s="36" t="s">
        <v>93</v>
      </c>
      <c r="F9" s="36" t="s">
        <v>7</v>
      </c>
      <c r="G9" s="36" t="s">
        <v>8</v>
      </c>
      <c r="H9" s="36" t="s">
        <v>91</v>
      </c>
      <c r="I9" s="36" t="s">
        <v>10</v>
      </c>
      <c r="M9" s="36" t="s">
        <v>3</v>
      </c>
      <c r="N9" s="36" t="s">
        <v>4</v>
      </c>
      <c r="O9" s="36" t="s">
        <v>92</v>
      </c>
      <c r="P9" s="36" t="s">
        <v>93</v>
      </c>
      <c r="Q9" s="36" t="s">
        <v>7</v>
      </c>
      <c r="R9" s="36" t="s">
        <v>8</v>
      </c>
      <c r="S9" s="36" t="s">
        <v>91</v>
      </c>
      <c r="T9" s="36" t="s">
        <v>10</v>
      </c>
    </row>
    <row r="10" spans="2:20" s="34" customFormat="1" x14ac:dyDescent="0.2">
      <c r="B10" s="38" t="s">
        <v>72</v>
      </c>
      <c r="C10" s="38" t="s">
        <v>29</v>
      </c>
      <c r="D10" s="39">
        <v>0.26429999999999998</v>
      </c>
      <c r="E10" s="61">
        <v>2</v>
      </c>
      <c r="F10" s="38">
        <v>30</v>
      </c>
      <c r="G10" s="38">
        <v>20</v>
      </c>
      <c r="H10" s="38">
        <f>E10*F10*G10</f>
        <v>1200</v>
      </c>
      <c r="I10" s="40">
        <f>D10*H10</f>
        <v>317.15999999999997</v>
      </c>
      <c r="J10"/>
      <c r="K10" s="14"/>
      <c r="L10"/>
      <c r="M10" s="38" t="s">
        <v>72</v>
      </c>
      <c r="N10" s="38" t="s">
        <v>29</v>
      </c>
      <c r="O10" s="41">
        <v>0.21953500000000001</v>
      </c>
      <c r="P10" s="70">
        <v>1</v>
      </c>
      <c r="Q10" s="38">
        <v>30</v>
      </c>
      <c r="R10" s="38">
        <v>20</v>
      </c>
      <c r="S10" s="38">
        <f>P10*Q10*R10</f>
        <v>600</v>
      </c>
      <c r="T10" s="40">
        <f>O10*S10</f>
        <v>131.721</v>
      </c>
    </row>
    <row r="11" spans="2:20" x14ac:dyDescent="0.2">
      <c r="B11" s="38" t="s">
        <v>112</v>
      </c>
      <c r="C11" s="38" t="s">
        <v>33</v>
      </c>
      <c r="D11" s="39">
        <f>400/188</f>
        <v>2.1276595744680851</v>
      </c>
      <c r="E11" s="38"/>
      <c r="F11" s="38"/>
      <c r="G11" s="38">
        <v>6</v>
      </c>
      <c r="H11" s="38">
        <v>188</v>
      </c>
      <c r="I11" s="40">
        <f>D11*H11</f>
        <v>400</v>
      </c>
      <c r="M11" s="38" t="s">
        <v>112</v>
      </c>
      <c r="N11" s="38" t="s">
        <v>33</v>
      </c>
      <c r="O11" s="39">
        <f>400/188</f>
        <v>2.1276595744680851</v>
      </c>
      <c r="P11" s="38"/>
      <c r="Q11" s="38"/>
      <c r="R11" s="38">
        <v>6</v>
      </c>
      <c r="S11" s="38">
        <v>188</v>
      </c>
      <c r="T11" s="40">
        <f>O11*S11</f>
        <v>400</v>
      </c>
    </row>
    <row r="12" spans="2:20" x14ac:dyDescent="0.2">
      <c r="B12" s="38" t="s">
        <v>113</v>
      </c>
      <c r="C12" s="38" t="s">
        <v>114</v>
      </c>
      <c r="D12" s="39">
        <v>1.3493999999999999</v>
      </c>
      <c r="E12" s="38">
        <v>1</v>
      </c>
      <c r="F12" s="38">
        <v>30</v>
      </c>
      <c r="G12" s="38">
        <v>6</v>
      </c>
      <c r="H12" s="38">
        <f>E12*F12*G12</f>
        <v>180</v>
      </c>
      <c r="I12" s="40">
        <f>D12*H12</f>
        <v>242.892</v>
      </c>
      <c r="M12" s="38" t="s">
        <v>113</v>
      </c>
      <c r="N12" s="38" t="s">
        <v>114</v>
      </c>
      <c r="O12" s="41">
        <v>0.69215499999999996</v>
      </c>
      <c r="P12" s="38">
        <v>1</v>
      </c>
      <c r="Q12" s="38">
        <v>30</v>
      </c>
      <c r="R12" s="38">
        <v>6</v>
      </c>
      <c r="S12" s="38">
        <f>P12*Q12*R12</f>
        <v>180</v>
      </c>
      <c r="T12" s="40">
        <f>O12*S12</f>
        <v>124.58789999999999</v>
      </c>
    </row>
    <row r="13" spans="2:20" x14ac:dyDescent="0.2">
      <c r="B13" s="38" t="s">
        <v>28</v>
      </c>
      <c r="C13" s="38" t="s">
        <v>0</v>
      </c>
      <c r="D13" s="39">
        <v>0.25940000000000002</v>
      </c>
      <c r="E13" s="38">
        <v>2</v>
      </c>
      <c r="F13" s="42">
        <v>30</v>
      </c>
      <c r="G13" s="42">
        <v>20</v>
      </c>
      <c r="H13" s="42">
        <f>E13*F13*G13</f>
        <v>1200</v>
      </c>
      <c r="I13" s="40">
        <f>D13*H13</f>
        <v>311.28000000000003</v>
      </c>
      <c r="M13" s="38" t="s">
        <v>28</v>
      </c>
      <c r="N13" s="38" t="s">
        <v>0</v>
      </c>
      <c r="O13" s="41">
        <v>0.25190000000000001</v>
      </c>
      <c r="P13" s="70">
        <v>3</v>
      </c>
      <c r="Q13" s="42">
        <v>30</v>
      </c>
      <c r="R13" s="42">
        <v>20</v>
      </c>
      <c r="S13" s="42">
        <f>P13*Q13*R13</f>
        <v>1800</v>
      </c>
      <c r="T13" s="40">
        <f>O13*S13</f>
        <v>453.42</v>
      </c>
    </row>
    <row r="14" spans="2:20" s="34" customFormat="1" x14ac:dyDescent="0.2">
      <c r="B14" s="38" t="s">
        <v>73</v>
      </c>
      <c r="C14" s="38" t="s">
        <v>33</v>
      </c>
      <c r="D14" s="39">
        <v>0.98240000000000005</v>
      </c>
      <c r="E14" s="38">
        <v>1</v>
      </c>
      <c r="F14" s="38">
        <v>30</v>
      </c>
      <c r="G14" s="42">
        <v>20</v>
      </c>
      <c r="H14" s="38">
        <f>E14*F14*G14</f>
        <v>600</v>
      </c>
      <c r="I14" s="40">
        <f>D14*H14</f>
        <v>589.44000000000005</v>
      </c>
      <c r="J14"/>
      <c r="K14" s="14"/>
      <c r="L14"/>
      <c r="M14" s="38" t="s">
        <v>73</v>
      </c>
      <c r="N14" s="38" t="s">
        <v>33</v>
      </c>
      <c r="O14" s="41">
        <v>0.54</v>
      </c>
      <c r="P14" s="38">
        <v>1</v>
      </c>
      <c r="Q14" s="38">
        <v>30</v>
      </c>
      <c r="R14" s="42">
        <v>20</v>
      </c>
      <c r="S14" s="38">
        <f>P14*Q14*R14</f>
        <v>600</v>
      </c>
      <c r="T14" s="40">
        <f>O14*S14</f>
        <v>324</v>
      </c>
    </row>
    <row r="15" spans="2:20" x14ac:dyDescent="0.2">
      <c r="B15" s="34"/>
      <c r="C15" s="34"/>
      <c r="D15" s="35"/>
      <c r="E15" s="34"/>
      <c r="F15" s="43"/>
      <c r="G15" s="44"/>
      <c r="H15" s="45" t="s">
        <v>14</v>
      </c>
      <c r="I15" s="46">
        <f>SUM(I10:I14)</f>
        <v>1860.7719999999999</v>
      </c>
      <c r="M15" s="34"/>
      <c r="N15" s="34"/>
      <c r="O15" s="34"/>
      <c r="P15" s="34"/>
      <c r="Q15" s="43"/>
      <c r="R15" s="44"/>
      <c r="S15" s="45" t="s">
        <v>14</v>
      </c>
      <c r="T15" s="46">
        <f>SUM(T10:T14)</f>
        <v>1433.7289000000001</v>
      </c>
    </row>
    <row r="17" spans="2:20" ht="15.75" hidden="1" x14ac:dyDescent="0.25">
      <c r="B17" s="123">
        <v>2017</v>
      </c>
      <c r="C17" s="123"/>
      <c r="D17" s="123"/>
      <c r="E17" s="123"/>
      <c r="F17" s="123"/>
      <c r="G17" s="123"/>
      <c r="H17" s="123"/>
      <c r="I17" s="123"/>
      <c r="M17" s="123"/>
      <c r="N17" s="123"/>
      <c r="O17" s="123"/>
      <c r="P17" s="123"/>
      <c r="Q17" s="123"/>
      <c r="R17" s="123"/>
      <c r="S17" s="123"/>
      <c r="T17" s="123"/>
    </row>
    <row r="18" spans="2:20" ht="15.75" hidden="1" x14ac:dyDescent="0.25">
      <c r="B18" s="123" t="s">
        <v>115</v>
      </c>
      <c r="C18" s="123"/>
      <c r="D18" s="123"/>
      <c r="E18" s="123"/>
      <c r="F18" s="123"/>
      <c r="G18" s="123"/>
      <c r="H18" s="123"/>
      <c r="I18" s="123"/>
      <c r="M18" s="123"/>
      <c r="N18" s="123"/>
      <c r="O18" s="123"/>
      <c r="P18" s="123"/>
      <c r="Q18" s="123"/>
      <c r="R18" s="123"/>
      <c r="S18" s="123"/>
      <c r="T18" s="123"/>
    </row>
    <row r="19" spans="2:20" ht="15.75" hidden="1" x14ac:dyDescent="0.25">
      <c r="B19" s="123" t="s">
        <v>63</v>
      </c>
      <c r="C19" s="123"/>
      <c r="D19" s="123"/>
      <c r="E19" s="123"/>
      <c r="F19" s="123"/>
      <c r="G19" s="123"/>
      <c r="H19" s="123"/>
      <c r="I19" s="123"/>
      <c r="M19" s="123"/>
      <c r="N19" s="123"/>
      <c r="O19" s="123"/>
      <c r="P19" s="123"/>
      <c r="Q19" s="123"/>
      <c r="R19" s="123"/>
      <c r="S19" s="123"/>
      <c r="T19" s="123"/>
    </row>
    <row r="20" spans="2:20" ht="15.75" hidden="1" x14ac:dyDescent="0.25">
      <c r="B20" s="34"/>
      <c r="C20" s="60"/>
      <c r="D20" s="60"/>
      <c r="E20" s="60"/>
      <c r="F20" s="60"/>
      <c r="G20" s="60"/>
      <c r="H20" s="60"/>
      <c r="I20" s="60"/>
      <c r="M20" s="34"/>
      <c r="N20" s="60"/>
      <c r="O20" s="60"/>
      <c r="P20" s="60"/>
      <c r="Q20" s="60"/>
      <c r="R20" s="60"/>
      <c r="S20" s="60"/>
      <c r="T20" s="60"/>
    </row>
    <row r="21" spans="2:20" hidden="1" x14ac:dyDescent="0.2">
      <c r="B21" s="34"/>
      <c r="C21" s="34"/>
      <c r="D21" s="35"/>
      <c r="E21" s="34"/>
      <c r="F21" s="34"/>
      <c r="G21" s="34"/>
      <c r="H21" s="34"/>
      <c r="I21" s="34"/>
      <c r="M21" s="34"/>
      <c r="N21" s="34"/>
      <c r="O21" s="34"/>
      <c r="P21" s="34"/>
      <c r="Q21" s="34"/>
      <c r="R21" s="34"/>
      <c r="S21" s="34"/>
      <c r="T21" s="34"/>
    </row>
    <row r="22" spans="2:20" hidden="1" x14ac:dyDescent="0.2">
      <c r="B22" s="36"/>
      <c r="C22" s="36"/>
      <c r="D22" s="37"/>
      <c r="E22" s="36"/>
      <c r="F22" s="36"/>
      <c r="G22" s="36"/>
      <c r="H22" s="36"/>
      <c r="I22" s="36"/>
      <c r="M22" s="36"/>
      <c r="N22" s="36"/>
      <c r="O22" s="36"/>
      <c r="P22" s="36"/>
      <c r="Q22" s="36"/>
      <c r="R22" s="36"/>
      <c r="S22" s="36"/>
      <c r="T22" s="36"/>
    </row>
    <row r="23" spans="2:20" hidden="1" x14ac:dyDescent="0.2">
      <c r="B23" s="38"/>
      <c r="C23" s="38"/>
      <c r="D23" s="39"/>
      <c r="E23" s="62"/>
      <c r="F23" s="38"/>
      <c r="G23" s="38"/>
      <c r="H23" s="38"/>
      <c r="I23" s="40"/>
      <c r="M23" s="38"/>
      <c r="N23" s="38"/>
      <c r="O23" s="39"/>
      <c r="P23" s="61"/>
      <c r="Q23" s="38"/>
      <c r="R23" s="38"/>
      <c r="S23" s="38"/>
      <c r="T23" s="40"/>
    </row>
    <row r="24" spans="2:20" hidden="1" x14ac:dyDescent="0.2">
      <c r="B24" s="38"/>
      <c r="C24" s="38"/>
      <c r="D24" s="39"/>
      <c r="E24" s="38"/>
      <c r="F24" s="38"/>
      <c r="G24" s="38"/>
      <c r="H24" s="38"/>
      <c r="I24" s="40"/>
      <c r="M24" s="38"/>
      <c r="N24" s="38"/>
      <c r="O24" s="39"/>
      <c r="P24" s="38"/>
      <c r="Q24" s="38"/>
      <c r="R24" s="38"/>
      <c r="S24" s="38"/>
      <c r="T24" s="40"/>
    </row>
    <row r="25" spans="2:20" hidden="1" x14ac:dyDescent="0.2">
      <c r="B25" s="38"/>
      <c r="C25" s="38"/>
      <c r="D25" s="39"/>
      <c r="E25" s="38"/>
      <c r="F25" s="38"/>
      <c r="G25" s="38"/>
      <c r="H25" s="38"/>
      <c r="I25" s="40"/>
      <c r="M25" s="38"/>
      <c r="N25" s="38"/>
      <c r="O25" s="39"/>
      <c r="P25" s="38"/>
      <c r="Q25" s="38"/>
      <c r="R25" s="38"/>
      <c r="S25" s="38"/>
      <c r="T25" s="40"/>
    </row>
    <row r="26" spans="2:20" hidden="1" x14ac:dyDescent="0.2">
      <c r="B26" s="38"/>
      <c r="C26" s="38"/>
      <c r="D26" s="39"/>
      <c r="E26" s="38"/>
      <c r="F26" s="42"/>
      <c r="G26" s="42"/>
      <c r="H26" s="42"/>
      <c r="I26" s="40"/>
      <c r="M26" s="38"/>
      <c r="N26" s="38"/>
      <c r="O26" s="39"/>
      <c r="P26" s="38"/>
      <c r="Q26" s="42"/>
      <c r="R26" s="42"/>
      <c r="S26" s="42"/>
      <c r="T26" s="40"/>
    </row>
    <row r="27" spans="2:20" hidden="1" x14ac:dyDescent="0.2">
      <c r="B27" s="38"/>
      <c r="C27" s="38"/>
      <c r="D27" s="39"/>
      <c r="E27" s="38"/>
      <c r="F27" s="38"/>
      <c r="G27" s="42"/>
      <c r="H27" s="38"/>
      <c r="I27" s="40"/>
      <c r="M27" s="38"/>
      <c r="N27" s="38"/>
      <c r="O27" s="39"/>
      <c r="P27" s="38"/>
      <c r="Q27" s="38"/>
      <c r="R27" s="42"/>
      <c r="S27" s="38"/>
      <c r="T27" s="40"/>
    </row>
    <row r="28" spans="2:20" hidden="1" x14ac:dyDescent="0.2">
      <c r="B28" s="34"/>
      <c r="C28" s="34"/>
      <c r="D28" s="35"/>
      <c r="E28" s="34"/>
      <c r="F28" s="43"/>
      <c r="G28" s="44"/>
      <c r="H28" s="45"/>
      <c r="I28" s="46"/>
      <c r="M28" s="34"/>
      <c r="N28" s="34"/>
      <c r="O28" s="34"/>
      <c r="P28" s="34"/>
      <c r="Q28" s="43"/>
      <c r="R28" s="44"/>
      <c r="S28" s="45"/>
      <c r="T28" s="46"/>
    </row>
    <row r="29" spans="2:20" hidden="1" x14ac:dyDescent="0.2"/>
    <row r="30" spans="2:20" hidden="1" x14ac:dyDescent="0.2"/>
  </sheetData>
  <mergeCells count="12">
    <mergeCell ref="B17:I17"/>
    <mergeCell ref="M17:T17"/>
    <mergeCell ref="B18:I18"/>
    <mergeCell ref="M18:T18"/>
    <mergeCell ref="B19:I19"/>
    <mergeCell ref="M19:T19"/>
    <mergeCell ref="B4:I4"/>
    <mergeCell ref="M4:T4"/>
    <mergeCell ref="B5:I5"/>
    <mergeCell ref="M5:T5"/>
    <mergeCell ref="B6:I6"/>
    <mergeCell ref="M6:T6"/>
  </mergeCells>
  <pageMargins left="0.7" right="0.7" top="0.75" bottom="0.75" header="0.3" footer="0.3"/>
  <pageSetup paperSize="9" orientation="portrait" verticalDpi="0"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BB9A-2AA3-41A7-889F-775139DFECED}">
  <sheetPr>
    <tabColor theme="9" tint="0.59999389629810485"/>
  </sheetPr>
  <dimension ref="B3:AC30"/>
  <sheetViews>
    <sheetView showGridLines="0" workbookViewId="0"/>
  </sheetViews>
  <sheetFormatPr defaultRowHeight="12.75" x14ac:dyDescent="0.2"/>
  <cols>
    <col min="1" max="1" width="9.140625" style="31"/>
    <col min="2" max="2" width="14.140625" style="31" customWidth="1"/>
    <col min="3" max="7" width="9.140625" style="31"/>
    <col min="8" max="8" width="10.5703125" style="31" customWidth="1"/>
    <col min="9" max="9" width="11.140625" style="31" customWidth="1"/>
    <col min="11" max="11" width="9.140625" style="14"/>
    <col min="13" max="13" width="14.5703125" style="31" customWidth="1"/>
    <col min="14" max="18" width="9.140625" style="31"/>
    <col min="19" max="19" width="10.28515625" style="31" customWidth="1"/>
    <col min="20" max="21" width="9.140625" style="31"/>
    <col min="22" max="29" width="0" style="31" hidden="1" customWidth="1"/>
    <col min="30" max="16384" width="9.140625" style="31"/>
  </cols>
  <sheetData>
    <row r="3" spans="2:29" x14ac:dyDescent="0.2">
      <c r="B3" s="34"/>
      <c r="C3" s="34"/>
      <c r="D3" s="35"/>
      <c r="E3" s="34"/>
      <c r="F3" s="34"/>
      <c r="G3" s="34"/>
      <c r="H3" s="34"/>
      <c r="I3" s="34"/>
      <c r="M3" s="34"/>
      <c r="N3" s="34"/>
      <c r="O3" s="34"/>
      <c r="P3" s="34"/>
      <c r="Q3" s="34"/>
      <c r="R3" s="34"/>
      <c r="S3" s="34"/>
      <c r="T3" s="34"/>
    </row>
    <row r="4" spans="2:29" ht="15.75" x14ac:dyDescent="0.25">
      <c r="B4" s="123">
        <v>2018</v>
      </c>
      <c r="C4" s="123"/>
      <c r="D4" s="123"/>
      <c r="E4" s="123"/>
      <c r="F4" s="123"/>
      <c r="G4" s="123"/>
      <c r="H4" s="123"/>
      <c r="I4" s="123"/>
      <c r="M4" s="123">
        <v>2019</v>
      </c>
      <c r="N4" s="123"/>
      <c r="O4" s="123"/>
      <c r="P4" s="123"/>
      <c r="Q4" s="123"/>
      <c r="R4" s="123"/>
      <c r="S4" s="123"/>
      <c r="T4" s="123"/>
    </row>
    <row r="5" spans="2:29" ht="15.75" x14ac:dyDescent="0.25">
      <c r="B5" s="123" t="str">
        <f>M5</f>
        <v>Treatment regimen: 6 Mfx Bdq Lzd Cs Cfz / 6 Mfx Lzd Cs Cfz / 8 Mfx Cs Cfz</v>
      </c>
      <c r="C5" s="123"/>
      <c r="D5" s="123"/>
      <c r="E5" s="123"/>
      <c r="F5" s="123"/>
      <c r="G5" s="123"/>
      <c r="H5" s="123"/>
      <c r="I5" s="123"/>
      <c r="M5" s="123" t="s">
        <v>116</v>
      </c>
      <c r="N5" s="123"/>
      <c r="O5" s="123"/>
      <c r="P5" s="123"/>
      <c r="Q5" s="123"/>
      <c r="R5" s="123"/>
      <c r="S5" s="123"/>
      <c r="T5" s="123"/>
    </row>
    <row r="6" spans="2:29" ht="15.75" x14ac:dyDescent="0.25">
      <c r="B6" s="123" t="s">
        <v>63</v>
      </c>
      <c r="C6" s="123"/>
      <c r="D6" s="123"/>
      <c r="E6" s="123"/>
      <c r="F6" s="123"/>
      <c r="G6" s="123"/>
      <c r="H6" s="123"/>
      <c r="I6" s="123"/>
      <c r="M6" s="123" t="s">
        <v>63</v>
      </c>
      <c r="N6" s="123"/>
      <c r="O6" s="123"/>
      <c r="P6" s="123"/>
      <c r="Q6" s="123"/>
      <c r="R6" s="123"/>
      <c r="S6" s="123"/>
      <c r="T6" s="123"/>
    </row>
    <row r="7" spans="2:29" ht="15.75" x14ac:dyDescent="0.25">
      <c r="B7" s="34"/>
      <c r="C7" s="60"/>
      <c r="D7" s="60"/>
      <c r="E7" s="60"/>
      <c r="F7" s="60"/>
      <c r="G7" s="60"/>
      <c r="H7" s="60"/>
      <c r="I7" s="60"/>
      <c r="M7" s="34" t="s">
        <v>111</v>
      </c>
      <c r="N7" s="60"/>
      <c r="O7" s="60"/>
      <c r="P7" s="60"/>
      <c r="Q7" s="60"/>
      <c r="R7" s="60"/>
      <c r="S7" s="60"/>
      <c r="T7" s="60"/>
    </row>
    <row r="8" spans="2:29" x14ac:dyDescent="0.2">
      <c r="B8" s="34"/>
      <c r="C8" s="34"/>
      <c r="D8" s="35"/>
      <c r="E8" s="34"/>
      <c r="F8" s="34"/>
      <c r="G8" s="34"/>
      <c r="H8" s="34"/>
      <c r="I8" s="34"/>
      <c r="M8" s="34"/>
      <c r="N8" s="34"/>
      <c r="O8" s="34"/>
      <c r="P8" s="34"/>
      <c r="Q8" s="34"/>
      <c r="R8" s="34"/>
      <c r="S8" s="34"/>
      <c r="T8" s="34"/>
    </row>
    <row r="9" spans="2:29" ht="89.25" x14ac:dyDescent="0.2">
      <c r="B9" s="36" t="s">
        <v>3</v>
      </c>
      <c r="C9" s="36" t="s">
        <v>4</v>
      </c>
      <c r="D9" s="36" t="s">
        <v>92</v>
      </c>
      <c r="E9" s="36" t="s">
        <v>93</v>
      </c>
      <c r="F9" s="36" t="s">
        <v>7</v>
      </c>
      <c r="G9" s="36" t="s">
        <v>8</v>
      </c>
      <c r="H9" s="36" t="s">
        <v>91</v>
      </c>
      <c r="I9" s="36" t="s">
        <v>10</v>
      </c>
      <c r="M9" s="36" t="s">
        <v>3</v>
      </c>
      <c r="N9" s="36" t="s">
        <v>4</v>
      </c>
      <c r="O9" s="36" t="s">
        <v>92</v>
      </c>
      <c r="P9" s="36" t="s">
        <v>93</v>
      </c>
      <c r="Q9" s="36" t="s">
        <v>7</v>
      </c>
      <c r="R9" s="36" t="s">
        <v>8</v>
      </c>
      <c r="S9" s="36" t="s">
        <v>91</v>
      </c>
      <c r="T9" s="36" t="s">
        <v>10</v>
      </c>
      <c r="V9" s="36" t="s">
        <v>3</v>
      </c>
      <c r="W9" s="36" t="s">
        <v>4</v>
      </c>
      <c r="X9" s="36" t="s">
        <v>92</v>
      </c>
      <c r="Y9" s="36" t="s">
        <v>93</v>
      </c>
      <c r="Z9" s="36" t="s">
        <v>7</v>
      </c>
      <c r="AA9" s="36" t="s">
        <v>8</v>
      </c>
      <c r="AB9" s="36" t="s">
        <v>91</v>
      </c>
      <c r="AC9" s="36" t="s">
        <v>10</v>
      </c>
    </row>
    <row r="10" spans="2:29" s="34" customFormat="1" x14ac:dyDescent="0.2">
      <c r="B10" s="38" t="s">
        <v>72</v>
      </c>
      <c r="C10" s="38" t="s">
        <v>29</v>
      </c>
      <c r="D10" s="39">
        <v>0.26429999999999998</v>
      </c>
      <c r="E10" s="61">
        <v>2</v>
      </c>
      <c r="F10" s="38">
        <v>30</v>
      </c>
      <c r="G10" s="38">
        <v>20</v>
      </c>
      <c r="H10" s="38">
        <f>E10*F10*G10</f>
        <v>1200</v>
      </c>
      <c r="I10" s="40">
        <f>D10*H10</f>
        <v>317.15999999999997</v>
      </c>
      <c r="J10"/>
      <c r="K10" s="14"/>
      <c r="L10"/>
      <c r="M10" s="38" t="s">
        <v>72</v>
      </c>
      <c r="N10" s="38" t="s">
        <v>29</v>
      </c>
      <c r="O10" s="41">
        <v>0.21953500000000001</v>
      </c>
      <c r="P10" s="70">
        <v>1</v>
      </c>
      <c r="Q10" s="38">
        <v>30</v>
      </c>
      <c r="R10" s="38">
        <v>20</v>
      </c>
      <c r="S10" s="38">
        <f>P10*Q10*R10</f>
        <v>600</v>
      </c>
      <c r="T10" s="40">
        <f>O10*S10</f>
        <v>131.721</v>
      </c>
      <c r="V10" s="38" t="s">
        <v>72</v>
      </c>
      <c r="W10" s="38" t="s">
        <v>29</v>
      </c>
      <c r="X10" s="39"/>
      <c r="Y10" s="61">
        <v>2</v>
      </c>
      <c r="Z10" s="38">
        <v>30</v>
      </c>
      <c r="AA10" s="38">
        <v>20</v>
      </c>
      <c r="AB10" s="38">
        <f>Y10*Z10*AA10</f>
        <v>1200</v>
      </c>
      <c r="AC10" s="40">
        <f>X10*AB10</f>
        <v>0</v>
      </c>
    </row>
    <row r="11" spans="2:29" x14ac:dyDescent="0.2">
      <c r="B11" s="38" t="s">
        <v>112</v>
      </c>
      <c r="C11" s="38" t="s">
        <v>33</v>
      </c>
      <c r="D11" s="39">
        <f>400/188</f>
        <v>2.1276595744680851</v>
      </c>
      <c r="E11" s="38"/>
      <c r="F11" s="38"/>
      <c r="G11" s="38">
        <v>6</v>
      </c>
      <c r="H11" s="38">
        <v>188</v>
      </c>
      <c r="I11" s="40">
        <f>D11*H11</f>
        <v>400</v>
      </c>
      <c r="M11" s="38" t="s">
        <v>112</v>
      </c>
      <c r="N11" s="38" t="s">
        <v>33</v>
      </c>
      <c r="O11" s="39">
        <f>400/188</f>
        <v>2.1276595744680851</v>
      </c>
      <c r="P11" s="38"/>
      <c r="Q11" s="38"/>
      <c r="R11" s="38">
        <v>6</v>
      </c>
      <c r="S11" s="38">
        <v>188</v>
      </c>
      <c r="T11" s="40">
        <f>O11*S11</f>
        <v>400</v>
      </c>
      <c r="V11" s="38" t="s">
        <v>112</v>
      </c>
      <c r="W11" s="38" t="s">
        <v>33</v>
      </c>
      <c r="X11" s="39">
        <f>400/188</f>
        <v>2.1276595744680851</v>
      </c>
      <c r="Y11" s="38"/>
      <c r="Z11" s="38"/>
      <c r="AA11" s="38">
        <v>6</v>
      </c>
      <c r="AB11" s="38">
        <v>188</v>
      </c>
      <c r="AC11" s="40">
        <f>X11*AB11</f>
        <v>400</v>
      </c>
    </row>
    <row r="12" spans="2:29" x14ac:dyDescent="0.2">
      <c r="B12" s="38" t="s">
        <v>113</v>
      </c>
      <c r="C12" s="38" t="s">
        <v>114</v>
      </c>
      <c r="D12" s="39">
        <v>1.3493999999999999</v>
      </c>
      <c r="E12" s="38">
        <v>1</v>
      </c>
      <c r="F12" s="38">
        <v>30</v>
      </c>
      <c r="G12" s="38">
        <v>12</v>
      </c>
      <c r="H12" s="38">
        <f>E12*F12*G12</f>
        <v>360</v>
      </c>
      <c r="I12" s="40">
        <f>D12*H12</f>
        <v>485.78399999999999</v>
      </c>
      <c r="M12" s="38" t="s">
        <v>113</v>
      </c>
      <c r="N12" s="38" t="s">
        <v>114</v>
      </c>
      <c r="O12" s="41">
        <v>0.69215499999999996</v>
      </c>
      <c r="P12" s="38">
        <v>1</v>
      </c>
      <c r="Q12" s="38">
        <v>30</v>
      </c>
      <c r="R12" s="38">
        <v>12</v>
      </c>
      <c r="S12" s="38">
        <f>P12*Q12*R12</f>
        <v>360</v>
      </c>
      <c r="T12" s="40">
        <f>O12*S12</f>
        <v>249.17579999999998</v>
      </c>
      <c r="V12" s="38" t="s">
        <v>113</v>
      </c>
      <c r="W12" s="38" t="s">
        <v>114</v>
      </c>
      <c r="X12" s="39"/>
      <c r="Y12" s="38">
        <v>1</v>
      </c>
      <c r="Z12" s="38">
        <v>30</v>
      </c>
      <c r="AA12" s="38">
        <v>12</v>
      </c>
      <c r="AB12" s="38">
        <f>Y12*Z12*AA12</f>
        <v>360</v>
      </c>
      <c r="AC12" s="40">
        <f>X12*AB12</f>
        <v>0</v>
      </c>
    </row>
    <row r="13" spans="2:29" x14ac:dyDescent="0.2">
      <c r="B13" s="38" t="s">
        <v>28</v>
      </c>
      <c r="C13" s="38" t="s">
        <v>0</v>
      </c>
      <c r="D13" s="39">
        <v>0.25940000000000002</v>
      </c>
      <c r="E13" s="38">
        <v>2</v>
      </c>
      <c r="F13" s="42">
        <v>30</v>
      </c>
      <c r="G13" s="42">
        <v>20</v>
      </c>
      <c r="H13" s="42">
        <f>E13*F13*G13</f>
        <v>1200</v>
      </c>
      <c r="I13" s="40">
        <f>D13*H13</f>
        <v>311.28000000000003</v>
      </c>
      <c r="M13" s="38" t="s">
        <v>28</v>
      </c>
      <c r="N13" s="38" t="s">
        <v>0</v>
      </c>
      <c r="O13" s="41">
        <v>0.25190000000000001</v>
      </c>
      <c r="P13" s="70">
        <v>3</v>
      </c>
      <c r="Q13" s="42">
        <v>30</v>
      </c>
      <c r="R13" s="42">
        <v>20</v>
      </c>
      <c r="S13" s="42">
        <f>P13*Q13*R13</f>
        <v>1800</v>
      </c>
      <c r="T13" s="40">
        <f>O13*S13</f>
        <v>453.42</v>
      </c>
      <c r="V13" s="38" t="s">
        <v>28</v>
      </c>
      <c r="W13" s="38" t="s">
        <v>0</v>
      </c>
      <c r="X13" s="39"/>
      <c r="Y13" s="38">
        <v>2</v>
      </c>
      <c r="Z13" s="42">
        <v>30</v>
      </c>
      <c r="AA13" s="42">
        <v>20</v>
      </c>
      <c r="AB13" s="42">
        <f>Y13*Z13*AA13</f>
        <v>1200</v>
      </c>
      <c r="AC13" s="40">
        <f>X13*AB13</f>
        <v>0</v>
      </c>
    </row>
    <row r="14" spans="2:29" s="34" customFormat="1" x14ac:dyDescent="0.2">
      <c r="B14" s="38" t="s">
        <v>73</v>
      </c>
      <c r="C14" s="38" t="s">
        <v>33</v>
      </c>
      <c r="D14" s="39">
        <v>0.98240000000000005</v>
      </c>
      <c r="E14" s="38">
        <v>1</v>
      </c>
      <c r="F14" s="38">
        <v>30</v>
      </c>
      <c r="G14" s="42">
        <v>20</v>
      </c>
      <c r="H14" s="38">
        <f>E14*F14*G14</f>
        <v>600</v>
      </c>
      <c r="I14" s="40">
        <f>D14*H14</f>
        <v>589.44000000000005</v>
      </c>
      <c r="J14"/>
      <c r="K14" s="14"/>
      <c r="L14"/>
      <c r="M14" s="38" t="s">
        <v>73</v>
      </c>
      <c r="N14" s="38" t="s">
        <v>33</v>
      </c>
      <c r="O14" s="41">
        <v>0.54</v>
      </c>
      <c r="P14" s="38">
        <v>1</v>
      </c>
      <c r="Q14" s="38">
        <v>30</v>
      </c>
      <c r="R14" s="42">
        <v>20</v>
      </c>
      <c r="S14" s="38">
        <f>P14*Q14*R14</f>
        <v>600</v>
      </c>
      <c r="T14" s="40">
        <f>O14*S14</f>
        <v>324</v>
      </c>
      <c r="V14" s="38" t="s">
        <v>73</v>
      </c>
      <c r="W14" s="38" t="s">
        <v>33</v>
      </c>
      <c r="X14" s="39"/>
      <c r="Y14" s="38">
        <v>1</v>
      </c>
      <c r="Z14" s="38">
        <v>30</v>
      </c>
      <c r="AA14" s="42">
        <v>20</v>
      </c>
      <c r="AB14" s="38">
        <f>Y14*Z14*AA14</f>
        <v>600</v>
      </c>
      <c r="AC14" s="40">
        <f>X14*AB14</f>
        <v>0</v>
      </c>
    </row>
    <row r="15" spans="2:29" x14ac:dyDescent="0.2">
      <c r="B15" s="34"/>
      <c r="C15" s="34"/>
      <c r="D15" s="34"/>
      <c r="E15" s="34"/>
      <c r="F15" s="43"/>
      <c r="G15" s="44"/>
      <c r="H15" s="45" t="s">
        <v>14</v>
      </c>
      <c r="I15" s="46">
        <f>SUM(I10:I14)</f>
        <v>2103.6639999999998</v>
      </c>
      <c r="M15" s="34"/>
      <c r="N15" s="34"/>
      <c r="O15" s="34"/>
      <c r="P15" s="34"/>
      <c r="Q15" s="43"/>
      <c r="R15" s="44"/>
      <c r="S15" s="45" t="s">
        <v>14</v>
      </c>
      <c r="T15" s="46">
        <f>SUM(T10:T14)</f>
        <v>1558.3168000000001</v>
      </c>
      <c r="V15" s="34"/>
      <c r="W15" s="34"/>
      <c r="X15" s="34" t="s">
        <v>117</v>
      </c>
      <c r="Y15" s="34"/>
      <c r="Z15" s="43"/>
      <c r="AA15" s="44"/>
      <c r="AB15" s="45" t="s">
        <v>14</v>
      </c>
      <c r="AC15" s="46">
        <f>SUM(AC10:AC14)</f>
        <v>400</v>
      </c>
    </row>
    <row r="17" spans="2:20" ht="15.75" hidden="1" x14ac:dyDescent="0.25">
      <c r="B17" s="123">
        <v>2017</v>
      </c>
      <c r="C17" s="123"/>
      <c r="D17" s="123"/>
      <c r="E17" s="123"/>
      <c r="F17" s="123"/>
      <c r="G17" s="123"/>
      <c r="H17" s="123"/>
      <c r="I17" s="123"/>
      <c r="M17" s="123">
        <v>2018</v>
      </c>
      <c r="N17" s="123"/>
      <c r="O17" s="123"/>
      <c r="P17" s="123"/>
      <c r="Q17" s="123"/>
      <c r="R17" s="123"/>
      <c r="S17" s="123"/>
      <c r="T17" s="123"/>
    </row>
    <row r="18" spans="2:20" ht="15.75" hidden="1" x14ac:dyDescent="0.25">
      <c r="B18" s="123" t="s">
        <v>115</v>
      </c>
      <c r="C18" s="123"/>
      <c r="D18" s="123"/>
      <c r="E18" s="123"/>
      <c r="F18" s="123"/>
      <c r="G18" s="123"/>
      <c r="H18" s="123"/>
      <c r="I18" s="123"/>
      <c r="M18" s="123"/>
      <c r="N18" s="123"/>
      <c r="O18" s="123"/>
      <c r="P18" s="123"/>
      <c r="Q18" s="123"/>
      <c r="R18" s="123"/>
      <c r="S18" s="123"/>
      <c r="T18" s="123"/>
    </row>
    <row r="19" spans="2:20" ht="15.75" hidden="1" x14ac:dyDescent="0.25">
      <c r="B19" s="123" t="s">
        <v>63</v>
      </c>
      <c r="C19" s="123"/>
      <c r="D19" s="123"/>
      <c r="E19" s="123"/>
      <c r="F19" s="123"/>
      <c r="G19" s="123"/>
      <c r="H19" s="123"/>
      <c r="I19" s="123"/>
      <c r="M19" s="123"/>
      <c r="N19" s="123"/>
      <c r="O19" s="123"/>
      <c r="P19" s="123"/>
      <c r="Q19" s="123"/>
      <c r="R19" s="123"/>
      <c r="S19" s="123"/>
      <c r="T19" s="123"/>
    </row>
    <row r="20" spans="2:20" ht="15.75" hidden="1" x14ac:dyDescent="0.25">
      <c r="B20" s="34"/>
      <c r="C20" s="60"/>
      <c r="D20" s="60"/>
      <c r="E20" s="60"/>
      <c r="F20" s="60"/>
      <c r="G20" s="60"/>
      <c r="H20" s="60"/>
      <c r="I20" s="60"/>
      <c r="M20" s="34"/>
      <c r="N20" s="60"/>
      <c r="O20" s="60"/>
      <c r="P20" s="60"/>
      <c r="Q20" s="60"/>
      <c r="R20" s="60"/>
      <c r="S20" s="60"/>
      <c r="T20" s="60"/>
    </row>
    <row r="21" spans="2:20" hidden="1" x14ac:dyDescent="0.2">
      <c r="B21" s="34"/>
      <c r="C21" s="34"/>
      <c r="D21" s="35"/>
      <c r="E21" s="34"/>
      <c r="F21" s="34"/>
      <c r="G21" s="34"/>
      <c r="H21" s="34"/>
      <c r="I21" s="34"/>
      <c r="M21" s="34"/>
      <c r="N21" s="34"/>
      <c r="O21" s="34"/>
      <c r="P21" s="34"/>
      <c r="Q21" s="34"/>
      <c r="R21" s="34"/>
      <c r="S21" s="34"/>
      <c r="T21" s="34"/>
    </row>
    <row r="22" spans="2:20" hidden="1" x14ac:dyDescent="0.2">
      <c r="B22" s="36"/>
      <c r="C22" s="36"/>
      <c r="D22" s="37"/>
      <c r="E22" s="36"/>
      <c r="F22" s="36"/>
      <c r="G22" s="36"/>
      <c r="H22" s="36"/>
      <c r="I22" s="36"/>
      <c r="M22" s="36"/>
      <c r="N22" s="36"/>
      <c r="O22" s="36"/>
      <c r="P22" s="36"/>
      <c r="Q22" s="36"/>
      <c r="R22" s="36"/>
      <c r="S22" s="36"/>
      <c r="T22" s="36"/>
    </row>
    <row r="23" spans="2:20" hidden="1" x14ac:dyDescent="0.2">
      <c r="B23" s="38"/>
      <c r="C23" s="38"/>
      <c r="D23" s="39"/>
      <c r="E23" s="62"/>
      <c r="F23" s="38"/>
      <c r="G23" s="38"/>
      <c r="H23" s="38"/>
      <c r="I23" s="40"/>
      <c r="M23" s="38"/>
      <c r="N23" s="38"/>
      <c r="O23" s="39"/>
      <c r="P23" s="61"/>
      <c r="Q23" s="38"/>
      <c r="R23" s="38"/>
      <c r="S23" s="38"/>
      <c r="T23" s="40"/>
    </row>
    <row r="24" spans="2:20" hidden="1" x14ac:dyDescent="0.2">
      <c r="B24" s="38"/>
      <c r="C24" s="38"/>
      <c r="D24" s="39"/>
      <c r="E24" s="38"/>
      <c r="F24" s="38"/>
      <c r="G24" s="38"/>
      <c r="H24" s="38"/>
      <c r="I24" s="40"/>
      <c r="M24" s="38"/>
      <c r="N24" s="38"/>
      <c r="O24" s="39"/>
      <c r="P24" s="38"/>
      <c r="Q24" s="38"/>
      <c r="R24" s="38"/>
      <c r="S24" s="38"/>
      <c r="T24" s="40"/>
    </row>
    <row r="25" spans="2:20" hidden="1" x14ac:dyDescent="0.2">
      <c r="B25" s="38"/>
      <c r="C25" s="38"/>
      <c r="D25" s="39"/>
      <c r="E25" s="38"/>
      <c r="F25" s="38"/>
      <c r="G25" s="38"/>
      <c r="H25" s="38"/>
      <c r="I25" s="40"/>
      <c r="M25" s="38"/>
      <c r="N25" s="38"/>
      <c r="O25" s="39"/>
      <c r="P25" s="38"/>
      <c r="Q25" s="38"/>
      <c r="R25" s="38"/>
      <c r="S25" s="38"/>
      <c r="T25" s="40"/>
    </row>
    <row r="26" spans="2:20" hidden="1" x14ac:dyDescent="0.2">
      <c r="B26" s="38"/>
      <c r="C26" s="38"/>
      <c r="D26" s="39"/>
      <c r="E26" s="38"/>
      <c r="F26" s="42"/>
      <c r="G26" s="42"/>
      <c r="H26" s="42"/>
      <c r="I26" s="40"/>
      <c r="M26" s="38"/>
      <c r="N26" s="38"/>
      <c r="O26" s="39"/>
      <c r="P26" s="38"/>
      <c r="Q26" s="42"/>
      <c r="R26" s="42"/>
      <c r="S26" s="42"/>
      <c r="T26" s="40"/>
    </row>
    <row r="27" spans="2:20" hidden="1" x14ac:dyDescent="0.2">
      <c r="B27" s="38"/>
      <c r="C27" s="38"/>
      <c r="D27" s="39"/>
      <c r="E27" s="38"/>
      <c r="F27" s="38"/>
      <c r="G27" s="42"/>
      <c r="H27" s="38"/>
      <c r="I27" s="40"/>
      <c r="M27" s="38"/>
      <c r="N27" s="38"/>
      <c r="O27" s="39"/>
      <c r="P27" s="38"/>
      <c r="Q27" s="38"/>
      <c r="R27" s="42"/>
      <c r="S27" s="38"/>
      <c r="T27" s="40"/>
    </row>
    <row r="28" spans="2:20" hidden="1" x14ac:dyDescent="0.2">
      <c r="B28" s="34"/>
      <c r="C28" s="34"/>
      <c r="D28" s="35"/>
      <c r="E28" s="34"/>
      <c r="F28" s="43"/>
      <c r="G28" s="44"/>
      <c r="H28" s="45"/>
      <c r="I28" s="46"/>
      <c r="M28" s="34"/>
      <c r="N28" s="34"/>
      <c r="O28" s="34"/>
      <c r="P28" s="34"/>
      <c r="Q28" s="43"/>
      <c r="R28" s="44"/>
      <c r="S28" s="45"/>
      <c r="T28" s="46"/>
    </row>
    <row r="29" spans="2:20" hidden="1" x14ac:dyDescent="0.2"/>
    <row r="30" spans="2:20" hidden="1" x14ac:dyDescent="0.2"/>
  </sheetData>
  <mergeCells count="12">
    <mergeCell ref="B17:I17"/>
    <mergeCell ref="M17:T17"/>
    <mergeCell ref="B18:I18"/>
    <mergeCell ref="M18:T18"/>
    <mergeCell ref="B19:I19"/>
    <mergeCell ref="M19:T19"/>
    <mergeCell ref="B4:I4"/>
    <mergeCell ref="M4:T4"/>
    <mergeCell ref="B5:I5"/>
    <mergeCell ref="M5:T5"/>
    <mergeCell ref="B6:I6"/>
    <mergeCell ref="M6:T6"/>
  </mergeCells>
  <pageMargins left="0.7" right="0.7" top="0.75" bottom="0.75" header="0.3" footer="0.3"/>
  <pageSetup paperSize="9" orientation="portrait" verticalDpi="0"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BA435-A6ED-40C1-9B4B-24FD0FDB4A00}">
  <sheetPr>
    <tabColor theme="9" tint="0.59999389629810485"/>
  </sheetPr>
  <dimension ref="B3:AC29"/>
  <sheetViews>
    <sheetView showGridLines="0" workbookViewId="0"/>
  </sheetViews>
  <sheetFormatPr defaultRowHeight="12.75" x14ac:dyDescent="0.2"/>
  <cols>
    <col min="1" max="1" width="9.140625" style="31"/>
    <col min="2" max="2" width="14.140625" style="31" customWidth="1"/>
    <col min="3" max="7" width="9.140625" style="31"/>
    <col min="8" max="8" width="10.28515625" style="31" customWidth="1"/>
    <col min="9" max="9" width="11.140625" style="31" customWidth="1"/>
    <col min="11" max="11" width="9.140625" style="14"/>
    <col min="13" max="13" width="14.5703125" style="31" customWidth="1"/>
    <col min="14" max="18" width="9.140625" style="31"/>
    <col min="19" max="19" width="10.5703125" style="31" customWidth="1"/>
    <col min="20" max="21" width="9.140625" style="31"/>
    <col min="22" max="29" width="0" style="31" hidden="1" customWidth="1"/>
    <col min="30" max="16384" width="9.140625" style="31"/>
  </cols>
  <sheetData>
    <row r="3" spans="2:29" x14ac:dyDescent="0.2">
      <c r="B3" s="34"/>
      <c r="C3" s="34"/>
      <c r="D3" s="35"/>
      <c r="E3" s="34"/>
      <c r="F3" s="34"/>
      <c r="G3" s="34"/>
      <c r="H3" s="34"/>
      <c r="I3" s="34"/>
      <c r="M3" s="34"/>
      <c r="N3" s="34"/>
      <c r="O3" s="34"/>
      <c r="P3" s="34"/>
      <c r="Q3" s="34"/>
      <c r="R3" s="34"/>
      <c r="S3" s="34"/>
      <c r="T3" s="34"/>
    </row>
    <row r="4" spans="2:29" ht="15.75" x14ac:dyDescent="0.25">
      <c r="B4" s="123">
        <v>2018</v>
      </c>
      <c r="C4" s="123"/>
      <c r="D4" s="123"/>
      <c r="E4" s="123"/>
      <c r="F4" s="123"/>
      <c r="G4" s="123"/>
      <c r="H4" s="123"/>
      <c r="I4" s="123"/>
      <c r="M4" s="123">
        <v>2019</v>
      </c>
      <c r="N4" s="123"/>
      <c r="O4" s="123"/>
      <c r="P4" s="123"/>
      <c r="Q4" s="123"/>
      <c r="R4" s="123"/>
      <c r="S4" s="123"/>
      <c r="T4" s="123"/>
    </row>
    <row r="5" spans="2:29" ht="15.75" x14ac:dyDescent="0.25">
      <c r="B5" s="123" t="str">
        <f>M5</f>
        <v>Treatment regimen: 6 Lfx Bdq Lzd Cs Cfz / 14 Lfx Cs Cfz</v>
      </c>
      <c r="C5" s="123"/>
      <c r="D5" s="123"/>
      <c r="E5" s="123"/>
      <c r="F5" s="123"/>
      <c r="G5" s="123"/>
      <c r="H5" s="123"/>
      <c r="I5" s="123"/>
      <c r="M5" s="123" t="s">
        <v>118</v>
      </c>
      <c r="N5" s="123"/>
      <c r="O5" s="123"/>
      <c r="P5" s="123"/>
      <c r="Q5" s="123"/>
      <c r="R5" s="123"/>
      <c r="S5" s="123"/>
      <c r="T5" s="123"/>
    </row>
    <row r="6" spans="2:29" ht="15.75" x14ac:dyDescent="0.25">
      <c r="B6" s="123" t="s">
        <v>63</v>
      </c>
      <c r="C6" s="123"/>
      <c r="D6" s="123"/>
      <c r="E6" s="123"/>
      <c r="F6" s="123"/>
      <c r="G6" s="123"/>
      <c r="H6" s="123"/>
      <c r="I6" s="123"/>
      <c r="M6" s="123" t="s">
        <v>63</v>
      </c>
      <c r="N6" s="123"/>
      <c r="O6" s="123"/>
      <c r="P6" s="123"/>
      <c r="Q6" s="123"/>
      <c r="R6" s="123"/>
      <c r="S6" s="123"/>
      <c r="T6" s="123"/>
    </row>
    <row r="7" spans="2:29" ht="15.75" x14ac:dyDescent="0.25">
      <c r="B7" s="34"/>
      <c r="C7" s="60"/>
      <c r="D7" s="60"/>
      <c r="E7" s="60"/>
      <c r="F7" s="60"/>
      <c r="G7" s="60"/>
      <c r="H7" s="60"/>
      <c r="I7" s="60"/>
      <c r="M7" s="34" t="s">
        <v>111</v>
      </c>
      <c r="N7" s="60"/>
      <c r="O7" s="60"/>
      <c r="P7" s="60"/>
      <c r="Q7" s="60"/>
      <c r="R7" s="60"/>
      <c r="S7" s="60"/>
      <c r="T7" s="60"/>
    </row>
    <row r="8" spans="2:29" x14ac:dyDescent="0.2">
      <c r="B8" s="34"/>
      <c r="C8" s="34"/>
      <c r="D8" s="35"/>
      <c r="E8" s="34"/>
      <c r="F8" s="34"/>
      <c r="G8" s="34"/>
      <c r="H8" s="34"/>
      <c r="I8" s="34"/>
      <c r="M8" s="34"/>
      <c r="N8" s="34"/>
      <c r="O8" s="34"/>
      <c r="P8" s="34"/>
      <c r="Q8" s="34"/>
      <c r="R8" s="34"/>
      <c r="S8" s="34"/>
      <c r="T8" s="34"/>
    </row>
    <row r="9" spans="2:29" ht="76.5" x14ac:dyDescent="0.2">
      <c r="B9" s="36" t="s">
        <v>3</v>
      </c>
      <c r="C9" s="36" t="s">
        <v>4</v>
      </c>
      <c r="D9" s="36" t="s">
        <v>92</v>
      </c>
      <c r="E9" s="36" t="s">
        <v>93</v>
      </c>
      <c r="F9" s="36" t="s">
        <v>7</v>
      </c>
      <c r="G9" s="36" t="s">
        <v>8</v>
      </c>
      <c r="H9" s="36" t="s">
        <v>91</v>
      </c>
      <c r="I9" s="36" t="s">
        <v>10</v>
      </c>
      <c r="M9" s="36" t="s">
        <v>3</v>
      </c>
      <c r="N9" s="36" t="s">
        <v>4</v>
      </c>
      <c r="O9" s="36" t="s">
        <v>92</v>
      </c>
      <c r="P9" s="36" t="s">
        <v>93</v>
      </c>
      <c r="Q9" s="36" t="s">
        <v>7</v>
      </c>
      <c r="R9" s="36" t="s">
        <v>8</v>
      </c>
      <c r="S9" s="36" t="s">
        <v>91</v>
      </c>
      <c r="T9" s="36" t="s">
        <v>10</v>
      </c>
      <c r="V9" s="36"/>
      <c r="W9" s="36"/>
      <c r="X9" s="36"/>
      <c r="Y9" s="36"/>
      <c r="Z9" s="36"/>
      <c r="AA9" s="36"/>
      <c r="AB9" s="36"/>
      <c r="AC9" s="36"/>
    </row>
    <row r="10" spans="2:29" s="34" customFormat="1" x14ac:dyDescent="0.2">
      <c r="B10" s="38" t="s">
        <v>13</v>
      </c>
      <c r="C10" s="38" t="s">
        <v>0</v>
      </c>
      <c r="D10" s="39">
        <v>2.7900000000000001E-2</v>
      </c>
      <c r="E10" s="61">
        <v>4</v>
      </c>
      <c r="F10" s="38">
        <v>30</v>
      </c>
      <c r="G10" s="38">
        <v>20</v>
      </c>
      <c r="H10" s="38">
        <f>E10*F10*G10</f>
        <v>2400</v>
      </c>
      <c r="I10" s="40">
        <f>D10*H10</f>
        <v>66.960000000000008</v>
      </c>
      <c r="J10"/>
      <c r="K10" s="14"/>
      <c r="L10"/>
      <c r="M10" s="38" t="s">
        <v>13</v>
      </c>
      <c r="N10" s="38" t="s">
        <v>0</v>
      </c>
      <c r="O10" s="41">
        <v>2.8150000000000001E-2</v>
      </c>
      <c r="P10" s="61">
        <v>4</v>
      </c>
      <c r="Q10" s="38">
        <v>30</v>
      </c>
      <c r="R10" s="38">
        <v>20</v>
      </c>
      <c r="S10" s="38">
        <f>P10*Q10*R10</f>
        <v>2400</v>
      </c>
      <c r="T10" s="40">
        <f>O10*S10</f>
        <v>67.56</v>
      </c>
      <c r="V10" s="38"/>
      <c r="W10" s="38"/>
      <c r="X10" s="39"/>
      <c r="Y10" s="61"/>
      <c r="Z10" s="38"/>
      <c r="AA10" s="38"/>
      <c r="AB10" s="38"/>
      <c r="AC10" s="40"/>
    </row>
    <row r="11" spans="2:29" x14ac:dyDescent="0.2">
      <c r="B11" s="38" t="s">
        <v>112</v>
      </c>
      <c r="C11" s="38" t="s">
        <v>33</v>
      </c>
      <c r="D11" s="39">
        <f>400/188</f>
        <v>2.1276595744680851</v>
      </c>
      <c r="E11" s="38"/>
      <c r="F11" s="38"/>
      <c r="G11" s="38">
        <v>6</v>
      </c>
      <c r="H11" s="38">
        <v>188</v>
      </c>
      <c r="I11" s="40">
        <f>D11*H11</f>
        <v>400</v>
      </c>
      <c r="M11" s="38" t="s">
        <v>112</v>
      </c>
      <c r="N11" s="38" t="s">
        <v>33</v>
      </c>
      <c r="O11" s="39">
        <f>400/188</f>
        <v>2.1276595744680851</v>
      </c>
      <c r="P11" s="38"/>
      <c r="Q11" s="38"/>
      <c r="R11" s="38">
        <v>6</v>
      </c>
      <c r="S11" s="38">
        <v>188</v>
      </c>
      <c r="T11" s="40">
        <f>O11*S11</f>
        <v>400</v>
      </c>
      <c r="V11" s="38"/>
      <c r="W11" s="38"/>
      <c r="X11" s="39"/>
      <c r="Y11" s="38"/>
      <c r="Z11" s="38"/>
      <c r="AA11" s="38"/>
      <c r="AB11" s="38"/>
      <c r="AC11" s="40"/>
    </row>
    <row r="12" spans="2:29" x14ac:dyDescent="0.2">
      <c r="B12" s="38" t="s">
        <v>113</v>
      </c>
      <c r="C12" s="38" t="s">
        <v>114</v>
      </c>
      <c r="D12" s="39">
        <v>1.3493999999999999</v>
      </c>
      <c r="E12" s="38">
        <v>1</v>
      </c>
      <c r="F12" s="38">
        <v>30</v>
      </c>
      <c r="G12" s="38">
        <v>6</v>
      </c>
      <c r="H12" s="38">
        <f>E12*F12*G12</f>
        <v>180</v>
      </c>
      <c r="I12" s="40">
        <f>D12*H12</f>
        <v>242.892</v>
      </c>
      <c r="M12" s="38" t="s">
        <v>113</v>
      </c>
      <c r="N12" s="38" t="s">
        <v>114</v>
      </c>
      <c r="O12" s="41">
        <v>0.69215499999999996</v>
      </c>
      <c r="P12" s="38">
        <v>1</v>
      </c>
      <c r="Q12" s="38">
        <v>30</v>
      </c>
      <c r="R12" s="38">
        <v>6</v>
      </c>
      <c r="S12" s="38">
        <f>P12*Q12*R12</f>
        <v>180</v>
      </c>
      <c r="T12" s="40">
        <f>O12*S12</f>
        <v>124.58789999999999</v>
      </c>
      <c r="V12" s="38"/>
      <c r="W12" s="38"/>
      <c r="X12" s="39"/>
      <c r="Y12" s="38"/>
      <c r="Z12" s="38"/>
      <c r="AA12" s="38"/>
      <c r="AB12" s="38"/>
      <c r="AC12" s="40"/>
    </row>
    <row r="13" spans="2:29" x14ac:dyDescent="0.2">
      <c r="B13" s="38" t="s">
        <v>28</v>
      </c>
      <c r="C13" s="38" t="s">
        <v>0</v>
      </c>
      <c r="D13" s="39">
        <v>0.25940000000000002</v>
      </c>
      <c r="E13" s="38">
        <v>2</v>
      </c>
      <c r="F13" s="42">
        <v>30</v>
      </c>
      <c r="G13" s="42">
        <v>20</v>
      </c>
      <c r="H13" s="42">
        <f>E13*F13*G13</f>
        <v>1200</v>
      </c>
      <c r="I13" s="40">
        <f>D13*H13</f>
        <v>311.28000000000003</v>
      </c>
      <c r="M13" s="38" t="s">
        <v>28</v>
      </c>
      <c r="N13" s="38" t="s">
        <v>0</v>
      </c>
      <c r="O13" s="41">
        <v>0.25190000000000001</v>
      </c>
      <c r="P13" s="38">
        <v>3</v>
      </c>
      <c r="Q13" s="42">
        <v>30</v>
      </c>
      <c r="R13" s="42">
        <v>20</v>
      </c>
      <c r="S13" s="42">
        <f>P13*Q13*R13</f>
        <v>1800</v>
      </c>
      <c r="T13" s="40">
        <f>O13*S13</f>
        <v>453.42</v>
      </c>
      <c r="V13" s="38"/>
      <c r="W13" s="38"/>
      <c r="X13" s="39"/>
      <c r="Y13" s="38"/>
      <c r="Z13" s="42"/>
      <c r="AA13" s="42"/>
      <c r="AB13" s="42"/>
      <c r="AC13" s="40"/>
    </row>
    <row r="14" spans="2:29" s="34" customFormat="1" x14ac:dyDescent="0.2">
      <c r="B14" s="38" t="s">
        <v>73</v>
      </c>
      <c r="C14" s="38" t="s">
        <v>33</v>
      </c>
      <c r="D14" s="39">
        <v>0.98240000000000005</v>
      </c>
      <c r="E14" s="38">
        <v>1</v>
      </c>
      <c r="F14" s="38">
        <v>30</v>
      </c>
      <c r="G14" s="42">
        <v>20</v>
      </c>
      <c r="H14" s="38">
        <f>E14*F14*G14</f>
        <v>600</v>
      </c>
      <c r="I14" s="40">
        <f>D14*H14</f>
        <v>589.44000000000005</v>
      </c>
      <c r="J14"/>
      <c r="K14" s="14"/>
      <c r="L14"/>
      <c r="M14" s="38" t="s">
        <v>73</v>
      </c>
      <c r="N14" s="38" t="s">
        <v>33</v>
      </c>
      <c r="O14" s="41">
        <v>0.54</v>
      </c>
      <c r="P14" s="38">
        <v>1</v>
      </c>
      <c r="Q14" s="38">
        <v>30</v>
      </c>
      <c r="R14" s="42">
        <v>20</v>
      </c>
      <c r="S14" s="38">
        <f>P14*Q14*R14</f>
        <v>600</v>
      </c>
      <c r="T14" s="40">
        <f>O14*S14</f>
        <v>324</v>
      </c>
      <c r="V14" s="38"/>
      <c r="W14" s="38"/>
      <c r="X14" s="39"/>
      <c r="Y14" s="38"/>
      <c r="Z14" s="38"/>
      <c r="AA14" s="42"/>
      <c r="AB14" s="38"/>
      <c r="AC14" s="40"/>
    </row>
    <row r="15" spans="2:29" x14ac:dyDescent="0.2">
      <c r="B15" s="34"/>
      <c r="C15" s="34"/>
      <c r="D15" s="34"/>
      <c r="E15" s="34"/>
      <c r="F15" s="43"/>
      <c r="G15" s="44"/>
      <c r="H15" s="45" t="s">
        <v>14</v>
      </c>
      <c r="I15" s="46">
        <f>SUM(I10:I14)</f>
        <v>1610.5720000000001</v>
      </c>
      <c r="M15" s="34"/>
      <c r="N15" s="34"/>
      <c r="O15" s="34"/>
      <c r="P15" s="34"/>
      <c r="Q15" s="43"/>
      <c r="R15" s="44"/>
      <c r="S15" s="45" t="s">
        <v>14</v>
      </c>
      <c r="T15" s="46">
        <f>SUM(T10:T14)</f>
        <v>1369.5679</v>
      </c>
      <c r="V15" s="34"/>
      <c r="W15" s="34"/>
      <c r="X15" s="34"/>
      <c r="Y15" s="34"/>
      <c r="Z15" s="43"/>
      <c r="AA15" s="44"/>
      <c r="AB15" s="45"/>
      <c r="AC15" s="46"/>
    </row>
    <row r="17" spans="2:20" ht="15.75" hidden="1" x14ac:dyDescent="0.25">
      <c r="B17" s="123">
        <v>2017</v>
      </c>
      <c r="C17" s="123"/>
      <c r="D17" s="123"/>
      <c r="E17" s="123"/>
      <c r="F17" s="123"/>
      <c r="G17" s="123"/>
      <c r="H17" s="123"/>
      <c r="I17" s="123"/>
      <c r="M17" s="123">
        <v>2018</v>
      </c>
      <c r="N17" s="123"/>
      <c r="O17" s="123"/>
      <c r="P17" s="123"/>
      <c r="Q17" s="123"/>
      <c r="R17" s="123"/>
      <c r="S17" s="123"/>
      <c r="T17" s="123"/>
    </row>
    <row r="18" spans="2:20" ht="15.75" hidden="1" x14ac:dyDescent="0.25">
      <c r="B18" s="123" t="s">
        <v>115</v>
      </c>
      <c r="C18" s="123"/>
      <c r="D18" s="123"/>
      <c r="E18" s="123"/>
      <c r="F18" s="123"/>
      <c r="G18" s="123"/>
      <c r="H18" s="123"/>
      <c r="I18" s="123"/>
      <c r="M18" s="123"/>
      <c r="N18" s="123"/>
      <c r="O18" s="123"/>
      <c r="P18" s="123"/>
      <c r="Q18" s="123"/>
      <c r="R18" s="123"/>
      <c r="S18" s="123"/>
      <c r="T18" s="123"/>
    </row>
    <row r="19" spans="2:20" ht="15.75" hidden="1" x14ac:dyDescent="0.25">
      <c r="B19" s="123" t="s">
        <v>63</v>
      </c>
      <c r="C19" s="123"/>
      <c r="D19" s="123"/>
      <c r="E19" s="123"/>
      <c r="F19" s="123"/>
      <c r="G19" s="123"/>
      <c r="H19" s="123"/>
      <c r="I19" s="123"/>
      <c r="M19" s="123"/>
      <c r="N19" s="123"/>
      <c r="O19" s="123"/>
      <c r="P19" s="123"/>
      <c r="Q19" s="123"/>
      <c r="R19" s="123"/>
      <c r="S19" s="123"/>
      <c r="T19" s="123"/>
    </row>
    <row r="20" spans="2:20" ht="15.75" hidden="1" x14ac:dyDescent="0.25">
      <c r="B20" s="34"/>
      <c r="C20" s="60"/>
      <c r="D20" s="60"/>
      <c r="E20" s="60"/>
      <c r="F20" s="60"/>
      <c r="G20" s="60"/>
      <c r="H20" s="60"/>
      <c r="I20" s="60"/>
      <c r="M20" s="34"/>
      <c r="N20" s="60"/>
      <c r="O20" s="60"/>
      <c r="P20" s="60"/>
      <c r="Q20" s="60"/>
      <c r="R20" s="60"/>
      <c r="S20" s="60"/>
      <c r="T20" s="60"/>
    </row>
    <row r="21" spans="2:20" hidden="1" x14ac:dyDescent="0.2">
      <c r="B21" s="34"/>
      <c r="C21" s="34"/>
      <c r="D21" s="35"/>
      <c r="E21" s="34"/>
      <c r="F21" s="34"/>
      <c r="G21" s="34"/>
      <c r="H21" s="34"/>
      <c r="I21" s="34"/>
      <c r="M21" s="34"/>
      <c r="N21" s="34"/>
      <c r="O21" s="34"/>
      <c r="P21" s="34"/>
      <c r="Q21" s="34"/>
      <c r="R21" s="34"/>
      <c r="S21" s="34"/>
      <c r="T21" s="34"/>
    </row>
    <row r="22" spans="2:20" hidden="1" x14ac:dyDescent="0.2">
      <c r="B22" s="36"/>
      <c r="C22" s="36"/>
      <c r="D22" s="37"/>
      <c r="E22" s="36"/>
      <c r="F22" s="36"/>
      <c r="G22" s="36"/>
      <c r="H22" s="36"/>
      <c r="I22" s="36"/>
      <c r="M22" s="36"/>
      <c r="N22" s="36"/>
      <c r="O22" s="36"/>
      <c r="P22" s="36"/>
      <c r="Q22" s="36"/>
      <c r="R22" s="36"/>
      <c r="S22" s="36"/>
      <c r="T22" s="36"/>
    </row>
    <row r="23" spans="2:20" hidden="1" x14ac:dyDescent="0.2">
      <c r="B23" s="38"/>
      <c r="C23" s="38"/>
      <c r="D23" s="39"/>
      <c r="E23" s="62"/>
      <c r="F23" s="38"/>
      <c r="G23" s="38"/>
      <c r="H23" s="38"/>
      <c r="I23" s="40"/>
      <c r="M23" s="38"/>
      <c r="N23" s="38"/>
      <c r="O23" s="39"/>
      <c r="P23" s="61"/>
      <c r="Q23" s="38"/>
      <c r="R23" s="38"/>
      <c r="S23" s="38"/>
      <c r="T23" s="40"/>
    </row>
    <row r="24" spans="2:20" hidden="1" x14ac:dyDescent="0.2">
      <c r="B24" s="38"/>
      <c r="C24" s="38"/>
      <c r="D24" s="39"/>
      <c r="E24" s="38"/>
      <c r="F24" s="38"/>
      <c r="G24" s="38"/>
      <c r="H24" s="38"/>
      <c r="I24" s="40"/>
      <c r="M24" s="38"/>
      <c r="N24" s="38"/>
      <c r="O24" s="39"/>
      <c r="P24" s="38"/>
      <c r="Q24" s="38"/>
      <c r="R24" s="38"/>
      <c r="S24" s="38"/>
      <c r="T24" s="40"/>
    </row>
    <row r="25" spans="2:20" hidden="1" x14ac:dyDescent="0.2">
      <c r="B25" s="38"/>
      <c r="C25" s="38"/>
      <c r="D25" s="39"/>
      <c r="E25" s="38"/>
      <c r="F25" s="38"/>
      <c r="G25" s="38"/>
      <c r="H25" s="38"/>
      <c r="I25" s="40"/>
      <c r="M25" s="38"/>
      <c r="N25" s="38"/>
      <c r="O25" s="39"/>
      <c r="P25" s="38"/>
      <c r="Q25" s="38"/>
      <c r="R25" s="38"/>
      <c r="S25" s="38"/>
      <c r="T25" s="40"/>
    </row>
    <row r="26" spans="2:20" hidden="1" x14ac:dyDescent="0.2">
      <c r="B26" s="38"/>
      <c r="C26" s="38"/>
      <c r="D26" s="39"/>
      <c r="E26" s="38"/>
      <c r="F26" s="42"/>
      <c r="G26" s="42"/>
      <c r="H26" s="42"/>
      <c r="I26" s="40"/>
      <c r="M26" s="38"/>
      <c r="N26" s="38"/>
      <c r="O26" s="39"/>
      <c r="P26" s="38"/>
      <c r="Q26" s="42"/>
      <c r="R26" s="42"/>
      <c r="S26" s="42"/>
      <c r="T26" s="40"/>
    </row>
    <row r="27" spans="2:20" hidden="1" x14ac:dyDescent="0.2">
      <c r="B27" s="38"/>
      <c r="C27" s="38"/>
      <c r="D27" s="39"/>
      <c r="E27" s="38"/>
      <c r="F27" s="38"/>
      <c r="G27" s="42"/>
      <c r="H27" s="38"/>
      <c r="I27" s="40"/>
      <c r="M27" s="38"/>
      <c r="N27" s="38"/>
      <c r="O27" s="39"/>
      <c r="P27" s="38"/>
      <c r="Q27" s="38"/>
      <c r="R27" s="42"/>
      <c r="S27" s="38"/>
      <c r="T27" s="40"/>
    </row>
    <row r="28" spans="2:20" hidden="1" x14ac:dyDescent="0.2">
      <c r="B28" s="34"/>
      <c r="C28" s="34"/>
      <c r="D28" s="35"/>
      <c r="E28" s="34"/>
      <c r="F28" s="43"/>
      <c r="G28" s="44"/>
      <c r="H28" s="45"/>
      <c r="I28" s="46"/>
      <c r="M28" s="34"/>
      <c r="N28" s="34"/>
      <c r="O28" s="34"/>
      <c r="P28" s="34"/>
      <c r="Q28" s="43"/>
      <c r="R28" s="44"/>
      <c r="S28" s="45"/>
      <c r="T28" s="46"/>
    </row>
    <row r="29" spans="2:20" hidden="1" x14ac:dyDescent="0.2"/>
  </sheetData>
  <mergeCells count="12">
    <mergeCell ref="B17:I17"/>
    <mergeCell ref="M17:T17"/>
    <mergeCell ref="B18:I18"/>
    <mergeCell ref="M18:T18"/>
    <mergeCell ref="B19:I19"/>
    <mergeCell ref="M19:T19"/>
    <mergeCell ref="B4:I4"/>
    <mergeCell ref="M4:T4"/>
    <mergeCell ref="B5:I5"/>
    <mergeCell ref="M5:T5"/>
    <mergeCell ref="B6:I6"/>
    <mergeCell ref="M6:T6"/>
  </mergeCells>
  <pageMargins left="0.7" right="0.7" top="0.75" bottom="0.75" header="0.3" footer="0.3"/>
  <pageSetup paperSize="9" orientation="portrait" verticalDpi="0"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E6E4-FBD3-41CA-B9C4-183EEED24EE3}">
  <sheetPr>
    <tabColor theme="9" tint="0.59999389629810485"/>
  </sheetPr>
  <dimension ref="B3:T30"/>
  <sheetViews>
    <sheetView showGridLines="0" workbookViewId="0"/>
  </sheetViews>
  <sheetFormatPr defaultRowHeight="12.75" x14ac:dyDescent="0.2"/>
  <cols>
    <col min="1" max="1" width="9.140625" style="31"/>
    <col min="2" max="2" width="14.140625" style="31" customWidth="1"/>
    <col min="3" max="7" width="9.140625" style="31"/>
    <col min="8" max="8" width="10.140625" style="31" customWidth="1"/>
    <col min="9" max="9" width="11.140625" style="31" customWidth="1"/>
    <col min="11" max="11" width="9.140625" style="14"/>
    <col min="13" max="13" width="14.5703125" style="31" customWidth="1"/>
    <col min="14" max="18" width="9.140625" style="31"/>
    <col min="19" max="19" width="10.28515625" style="31" customWidth="1"/>
    <col min="20" max="16384" width="9.140625" style="31"/>
  </cols>
  <sheetData>
    <row r="3" spans="2:20" x14ac:dyDescent="0.2">
      <c r="B3" s="34"/>
      <c r="C3" s="34"/>
      <c r="D3" s="35"/>
      <c r="E3" s="34"/>
      <c r="F3" s="34"/>
      <c r="G3" s="34"/>
      <c r="H3" s="34"/>
      <c r="I3" s="34"/>
      <c r="M3" s="34"/>
      <c r="N3" s="34"/>
      <c r="O3" s="34"/>
      <c r="P3" s="34"/>
      <c r="Q3" s="34"/>
      <c r="R3" s="34"/>
      <c r="S3" s="34"/>
      <c r="T3" s="34"/>
    </row>
    <row r="4" spans="2:20" ht="15.75" x14ac:dyDescent="0.25">
      <c r="B4" s="123">
        <v>2018</v>
      </c>
      <c r="C4" s="123"/>
      <c r="D4" s="123"/>
      <c r="E4" s="123"/>
      <c r="F4" s="123"/>
      <c r="G4" s="123"/>
      <c r="H4" s="123"/>
      <c r="I4" s="123"/>
      <c r="M4" s="123">
        <v>2018</v>
      </c>
      <c r="N4" s="123"/>
      <c r="O4" s="123"/>
      <c r="P4" s="123"/>
      <c r="Q4" s="123"/>
      <c r="R4" s="123"/>
      <c r="S4" s="123"/>
      <c r="T4" s="123"/>
    </row>
    <row r="5" spans="2:20" ht="15.75" x14ac:dyDescent="0.25">
      <c r="B5" s="123" t="str">
        <f>M5</f>
        <v>Treatment regimen: 6 Lfx Bdq Lzd Cs Cfz / 6 Lfx Lzd Cs Cfz / 8 Lfx Cs Cfz</v>
      </c>
      <c r="C5" s="123"/>
      <c r="D5" s="123"/>
      <c r="E5" s="123"/>
      <c r="F5" s="123"/>
      <c r="G5" s="123"/>
      <c r="H5" s="123"/>
      <c r="I5" s="123"/>
      <c r="M5" s="123" t="s">
        <v>119</v>
      </c>
      <c r="N5" s="123"/>
      <c r="O5" s="123"/>
      <c r="P5" s="123"/>
      <c r="Q5" s="123"/>
      <c r="R5" s="123"/>
      <c r="S5" s="123"/>
      <c r="T5" s="123"/>
    </row>
    <row r="6" spans="2:20" ht="15.75" x14ac:dyDescent="0.25">
      <c r="B6" s="123" t="s">
        <v>63</v>
      </c>
      <c r="C6" s="123"/>
      <c r="D6" s="123"/>
      <c r="E6" s="123"/>
      <c r="F6" s="123"/>
      <c r="G6" s="123"/>
      <c r="H6" s="123"/>
      <c r="I6" s="123"/>
      <c r="M6" s="123" t="s">
        <v>63</v>
      </c>
      <c r="N6" s="123"/>
      <c r="O6" s="123"/>
      <c r="P6" s="123"/>
      <c r="Q6" s="123"/>
      <c r="R6" s="123"/>
      <c r="S6" s="123"/>
      <c r="T6" s="123"/>
    </row>
    <row r="7" spans="2:20" ht="15.75" x14ac:dyDescent="0.25">
      <c r="B7" s="34"/>
      <c r="C7" s="60"/>
      <c r="D7" s="60"/>
      <c r="E7" s="60"/>
      <c r="F7" s="60"/>
      <c r="G7" s="60"/>
      <c r="H7" s="60"/>
      <c r="I7" s="60"/>
      <c r="M7" s="34" t="s">
        <v>111</v>
      </c>
      <c r="N7" s="60"/>
      <c r="O7" s="60"/>
      <c r="P7" s="60"/>
      <c r="Q7" s="60"/>
      <c r="R7" s="60"/>
      <c r="S7" s="60"/>
      <c r="T7" s="60"/>
    </row>
    <row r="8" spans="2:20" x14ac:dyDescent="0.2">
      <c r="B8" s="34"/>
      <c r="C8" s="34"/>
      <c r="D8" s="35"/>
      <c r="E8" s="34"/>
      <c r="F8" s="34"/>
      <c r="G8" s="34"/>
      <c r="H8" s="34"/>
      <c r="I8" s="34"/>
      <c r="M8" s="34"/>
      <c r="N8" s="34"/>
      <c r="O8" s="34"/>
      <c r="P8" s="34"/>
      <c r="Q8" s="34"/>
      <c r="R8" s="34"/>
      <c r="S8" s="34"/>
      <c r="T8" s="34"/>
    </row>
    <row r="9" spans="2:20" ht="76.5" x14ac:dyDescent="0.2">
      <c r="B9" s="36" t="s">
        <v>3</v>
      </c>
      <c r="C9" s="36" t="s">
        <v>4</v>
      </c>
      <c r="D9" s="36" t="s">
        <v>92</v>
      </c>
      <c r="E9" s="36" t="s">
        <v>93</v>
      </c>
      <c r="F9" s="36" t="s">
        <v>7</v>
      </c>
      <c r="G9" s="36" t="s">
        <v>8</v>
      </c>
      <c r="H9" s="36" t="s">
        <v>91</v>
      </c>
      <c r="I9" s="36" t="s">
        <v>10</v>
      </c>
      <c r="M9" s="36" t="s">
        <v>3</v>
      </c>
      <c r="N9" s="36" t="s">
        <v>4</v>
      </c>
      <c r="O9" s="36" t="s">
        <v>92</v>
      </c>
      <c r="P9" s="36" t="s">
        <v>93</v>
      </c>
      <c r="Q9" s="36" t="s">
        <v>7</v>
      </c>
      <c r="R9" s="36" t="s">
        <v>8</v>
      </c>
      <c r="S9" s="36" t="s">
        <v>91</v>
      </c>
      <c r="T9" s="36" t="s">
        <v>10</v>
      </c>
    </row>
    <row r="10" spans="2:20" s="34" customFormat="1" x14ac:dyDescent="0.2">
      <c r="B10" s="38" t="s">
        <v>13</v>
      </c>
      <c r="C10" s="38" t="s">
        <v>0</v>
      </c>
      <c r="D10" s="39">
        <v>2.7900000000000001E-2</v>
      </c>
      <c r="E10" s="61">
        <v>4</v>
      </c>
      <c r="F10" s="38">
        <v>30</v>
      </c>
      <c r="G10" s="38">
        <v>20</v>
      </c>
      <c r="H10" s="38">
        <f>E10*F10*G10</f>
        <v>2400</v>
      </c>
      <c r="I10" s="40">
        <f>D10*H10</f>
        <v>66.960000000000008</v>
      </c>
      <c r="J10"/>
      <c r="K10" s="14"/>
      <c r="L10"/>
      <c r="M10" s="38" t="s">
        <v>13</v>
      </c>
      <c r="N10" s="38" t="s">
        <v>0</v>
      </c>
      <c r="O10" s="41">
        <v>2.8150000000000001E-2</v>
      </c>
      <c r="P10" s="61">
        <v>4</v>
      </c>
      <c r="Q10" s="38">
        <v>30</v>
      </c>
      <c r="R10" s="38">
        <v>20</v>
      </c>
      <c r="S10" s="38">
        <f>P10*Q10*R10</f>
        <v>2400</v>
      </c>
      <c r="T10" s="40">
        <f>O10*S10</f>
        <v>67.56</v>
      </c>
    </row>
    <row r="11" spans="2:20" x14ac:dyDescent="0.2">
      <c r="B11" s="38" t="s">
        <v>112</v>
      </c>
      <c r="C11" s="38" t="s">
        <v>33</v>
      </c>
      <c r="D11" s="39">
        <f>400/188</f>
        <v>2.1276595744680851</v>
      </c>
      <c r="E11" s="38"/>
      <c r="F11" s="38"/>
      <c r="G11" s="38">
        <v>6</v>
      </c>
      <c r="H11" s="38">
        <v>188</v>
      </c>
      <c r="I11" s="40">
        <f>D11*H11</f>
        <v>400</v>
      </c>
      <c r="M11" s="38" t="s">
        <v>112</v>
      </c>
      <c r="N11" s="38" t="s">
        <v>33</v>
      </c>
      <c r="O11" s="39">
        <f>400/188</f>
        <v>2.1276595744680851</v>
      </c>
      <c r="P11" s="38"/>
      <c r="Q11" s="38"/>
      <c r="R11" s="38">
        <v>6</v>
      </c>
      <c r="S11" s="38">
        <v>188</v>
      </c>
      <c r="T11" s="40">
        <f>O11*S11</f>
        <v>400</v>
      </c>
    </row>
    <row r="12" spans="2:20" x14ac:dyDescent="0.2">
      <c r="B12" s="38" t="s">
        <v>113</v>
      </c>
      <c r="C12" s="38" t="s">
        <v>114</v>
      </c>
      <c r="D12" s="39">
        <v>1.3493999999999999</v>
      </c>
      <c r="E12" s="38">
        <v>1</v>
      </c>
      <c r="F12" s="38">
        <v>30</v>
      </c>
      <c r="G12" s="38">
        <v>12</v>
      </c>
      <c r="H12" s="38">
        <f>E12*F12*G12</f>
        <v>360</v>
      </c>
      <c r="I12" s="40">
        <f>D12*H12</f>
        <v>485.78399999999999</v>
      </c>
      <c r="M12" s="38" t="s">
        <v>113</v>
      </c>
      <c r="N12" s="38" t="s">
        <v>114</v>
      </c>
      <c r="O12" s="41">
        <v>0.69215499999999996</v>
      </c>
      <c r="P12" s="38">
        <v>1</v>
      </c>
      <c r="Q12" s="38">
        <v>30</v>
      </c>
      <c r="R12" s="38">
        <v>12</v>
      </c>
      <c r="S12" s="38">
        <f>P12*Q12*R12</f>
        <v>360</v>
      </c>
      <c r="T12" s="40">
        <f>O12*S12</f>
        <v>249.17579999999998</v>
      </c>
    </row>
    <row r="13" spans="2:20" x14ac:dyDescent="0.2">
      <c r="B13" s="38" t="s">
        <v>28</v>
      </c>
      <c r="C13" s="38" t="s">
        <v>0</v>
      </c>
      <c r="D13" s="39">
        <v>0.25940000000000002</v>
      </c>
      <c r="E13" s="38">
        <v>2</v>
      </c>
      <c r="F13" s="42">
        <v>30</v>
      </c>
      <c r="G13" s="42">
        <v>20</v>
      </c>
      <c r="H13" s="42">
        <f>E13*F13*G13</f>
        <v>1200</v>
      </c>
      <c r="I13" s="40">
        <f>D13*H13</f>
        <v>311.28000000000003</v>
      </c>
      <c r="M13" s="38" t="s">
        <v>28</v>
      </c>
      <c r="N13" s="38" t="s">
        <v>0</v>
      </c>
      <c r="O13" s="41">
        <v>0.25190000000000001</v>
      </c>
      <c r="P13" s="70">
        <v>3</v>
      </c>
      <c r="Q13" s="42">
        <v>30</v>
      </c>
      <c r="R13" s="42">
        <v>20</v>
      </c>
      <c r="S13" s="42">
        <f>P13*Q13*R13</f>
        <v>1800</v>
      </c>
      <c r="T13" s="40">
        <f>O13*S13</f>
        <v>453.42</v>
      </c>
    </row>
    <row r="14" spans="2:20" s="34" customFormat="1" x14ac:dyDescent="0.2">
      <c r="B14" s="38" t="s">
        <v>73</v>
      </c>
      <c r="C14" s="38" t="s">
        <v>33</v>
      </c>
      <c r="D14" s="39">
        <v>0.98240000000000005</v>
      </c>
      <c r="E14" s="38">
        <v>1</v>
      </c>
      <c r="F14" s="38">
        <v>30</v>
      </c>
      <c r="G14" s="42">
        <v>20</v>
      </c>
      <c r="H14" s="38">
        <f>E14*F14*G14</f>
        <v>600</v>
      </c>
      <c r="I14" s="40">
        <f>D14*H14</f>
        <v>589.44000000000005</v>
      </c>
      <c r="J14"/>
      <c r="K14" s="14"/>
      <c r="L14"/>
      <c r="M14" s="38" t="s">
        <v>73</v>
      </c>
      <c r="N14" s="38" t="s">
        <v>33</v>
      </c>
      <c r="O14" s="41">
        <v>0.54</v>
      </c>
      <c r="P14" s="38">
        <v>1</v>
      </c>
      <c r="Q14" s="38">
        <v>30</v>
      </c>
      <c r="R14" s="42">
        <v>20</v>
      </c>
      <c r="S14" s="38">
        <f>P14*Q14*R14</f>
        <v>600</v>
      </c>
      <c r="T14" s="40">
        <f>O14*S14</f>
        <v>324</v>
      </c>
    </row>
    <row r="15" spans="2:20" x14ac:dyDescent="0.2">
      <c r="B15" s="34"/>
      <c r="C15" s="34"/>
      <c r="D15" s="34"/>
      <c r="E15" s="34"/>
      <c r="F15" s="43"/>
      <c r="G15" s="44"/>
      <c r="H15" s="45" t="s">
        <v>14</v>
      </c>
      <c r="I15" s="46">
        <f>SUM(I10:I14)</f>
        <v>1853.4640000000002</v>
      </c>
      <c r="M15" s="34"/>
      <c r="N15" s="34"/>
      <c r="O15" s="34"/>
      <c r="P15" s="34"/>
      <c r="Q15" s="43"/>
      <c r="R15" s="44"/>
      <c r="S15" s="45" t="s">
        <v>14</v>
      </c>
      <c r="T15" s="46">
        <f>SUM(T10:T14)</f>
        <v>1494.1558</v>
      </c>
    </row>
    <row r="17" spans="2:20" ht="15.75" hidden="1" x14ac:dyDescent="0.25">
      <c r="B17" s="123">
        <v>2017</v>
      </c>
      <c r="C17" s="123"/>
      <c r="D17" s="123"/>
      <c r="E17" s="123"/>
      <c r="F17" s="123"/>
      <c r="G17" s="123"/>
      <c r="H17" s="123"/>
      <c r="I17" s="123"/>
      <c r="M17" s="123">
        <v>2018</v>
      </c>
      <c r="N17" s="123"/>
      <c r="O17" s="123"/>
      <c r="P17" s="123"/>
      <c r="Q17" s="123"/>
      <c r="R17" s="123"/>
      <c r="S17" s="123"/>
      <c r="T17" s="123"/>
    </row>
    <row r="18" spans="2:20" ht="15.75" hidden="1" x14ac:dyDescent="0.25">
      <c r="B18" s="123" t="s">
        <v>115</v>
      </c>
      <c r="C18" s="123"/>
      <c r="D18" s="123"/>
      <c r="E18" s="123"/>
      <c r="F18" s="123"/>
      <c r="G18" s="123"/>
      <c r="H18" s="123"/>
      <c r="I18" s="123"/>
      <c r="M18" s="123"/>
      <c r="N18" s="123"/>
      <c r="O18" s="123"/>
      <c r="P18" s="123"/>
      <c r="Q18" s="123"/>
      <c r="R18" s="123"/>
      <c r="S18" s="123"/>
      <c r="T18" s="123"/>
    </row>
    <row r="19" spans="2:20" ht="15.75" hidden="1" x14ac:dyDescent="0.25">
      <c r="B19" s="123" t="s">
        <v>63</v>
      </c>
      <c r="C19" s="123"/>
      <c r="D19" s="123"/>
      <c r="E19" s="123"/>
      <c r="F19" s="123"/>
      <c r="G19" s="123"/>
      <c r="H19" s="123"/>
      <c r="I19" s="123"/>
      <c r="M19" s="123"/>
      <c r="N19" s="123"/>
      <c r="O19" s="123"/>
      <c r="P19" s="123"/>
      <c r="Q19" s="123"/>
      <c r="R19" s="123"/>
      <c r="S19" s="123"/>
      <c r="T19" s="123"/>
    </row>
    <row r="20" spans="2:20" ht="15.75" hidden="1" x14ac:dyDescent="0.25">
      <c r="B20" s="34"/>
      <c r="C20" s="60"/>
      <c r="D20" s="60"/>
      <c r="E20" s="60"/>
      <c r="F20" s="60"/>
      <c r="G20" s="60"/>
      <c r="H20" s="60"/>
      <c r="I20" s="60"/>
      <c r="M20" s="34"/>
      <c r="N20" s="60"/>
      <c r="O20" s="60"/>
      <c r="P20" s="60"/>
      <c r="Q20" s="60"/>
      <c r="R20" s="60"/>
      <c r="S20" s="60"/>
      <c r="T20" s="60"/>
    </row>
    <row r="21" spans="2:20" hidden="1" x14ac:dyDescent="0.2">
      <c r="B21" s="34"/>
      <c r="C21" s="34"/>
      <c r="D21" s="35"/>
      <c r="E21" s="34"/>
      <c r="F21" s="34"/>
      <c r="G21" s="34"/>
      <c r="H21" s="34"/>
      <c r="I21" s="34"/>
      <c r="M21" s="34"/>
      <c r="N21" s="34"/>
      <c r="O21" s="34"/>
      <c r="P21" s="34"/>
      <c r="Q21" s="34"/>
      <c r="R21" s="34"/>
      <c r="S21" s="34"/>
      <c r="T21" s="34"/>
    </row>
    <row r="22" spans="2:20" hidden="1" x14ac:dyDescent="0.2">
      <c r="B22" s="36"/>
      <c r="C22" s="36"/>
      <c r="D22" s="37"/>
      <c r="E22" s="36"/>
      <c r="F22" s="36"/>
      <c r="G22" s="36"/>
      <c r="H22" s="36"/>
      <c r="I22" s="36"/>
      <c r="M22" s="36"/>
      <c r="N22" s="36"/>
      <c r="O22" s="36"/>
      <c r="P22" s="36"/>
      <c r="Q22" s="36"/>
      <c r="R22" s="36"/>
      <c r="S22" s="36"/>
      <c r="T22" s="36"/>
    </row>
    <row r="23" spans="2:20" hidden="1" x14ac:dyDescent="0.2">
      <c r="B23" s="38"/>
      <c r="C23" s="38"/>
      <c r="D23" s="39"/>
      <c r="E23" s="62"/>
      <c r="F23" s="38"/>
      <c r="G23" s="38"/>
      <c r="H23" s="38"/>
      <c r="I23" s="40"/>
      <c r="M23" s="38"/>
      <c r="N23" s="38"/>
      <c r="O23" s="39"/>
      <c r="P23" s="61"/>
      <c r="Q23" s="38"/>
      <c r="R23" s="38"/>
      <c r="S23" s="38"/>
      <c r="T23" s="40"/>
    </row>
    <row r="24" spans="2:20" hidden="1" x14ac:dyDescent="0.2">
      <c r="B24" s="38"/>
      <c r="C24" s="38"/>
      <c r="D24" s="39"/>
      <c r="E24" s="38"/>
      <c r="F24" s="38"/>
      <c r="G24" s="38"/>
      <c r="H24" s="38"/>
      <c r="I24" s="40"/>
      <c r="M24" s="38"/>
      <c r="N24" s="38"/>
      <c r="O24" s="39"/>
      <c r="P24" s="38"/>
      <c r="Q24" s="38"/>
      <c r="R24" s="38"/>
      <c r="S24" s="38"/>
      <c r="T24" s="40"/>
    </row>
    <row r="25" spans="2:20" hidden="1" x14ac:dyDescent="0.2">
      <c r="B25" s="38"/>
      <c r="C25" s="38"/>
      <c r="D25" s="39"/>
      <c r="E25" s="38"/>
      <c r="F25" s="38"/>
      <c r="G25" s="38"/>
      <c r="H25" s="38"/>
      <c r="I25" s="40"/>
      <c r="M25" s="38"/>
      <c r="N25" s="38"/>
      <c r="O25" s="39"/>
      <c r="P25" s="38"/>
      <c r="Q25" s="38"/>
      <c r="R25" s="38"/>
      <c r="S25" s="38"/>
      <c r="T25" s="40"/>
    </row>
    <row r="26" spans="2:20" hidden="1" x14ac:dyDescent="0.2">
      <c r="B26" s="38"/>
      <c r="C26" s="38"/>
      <c r="D26" s="39"/>
      <c r="E26" s="38"/>
      <c r="F26" s="42"/>
      <c r="G26" s="42"/>
      <c r="H26" s="42"/>
      <c r="I26" s="40"/>
      <c r="M26" s="38"/>
      <c r="N26" s="38"/>
      <c r="O26" s="39"/>
      <c r="P26" s="38"/>
      <c r="Q26" s="42"/>
      <c r="R26" s="42"/>
      <c r="S26" s="42"/>
      <c r="T26" s="40"/>
    </row>
    <row r="27" spans="2:20" hidden="1" x14ac:dyDescent="0.2">
      <c r="B27" s="38"/>
      <c r="C27" s="38"/>
      <c r="D27" s="39"/>
      <c r="E27" s="38"/>
      <c r="F27" s="38"/>
      <c r="G27" s="42"/>
      <c r="H27" s="38"/>
      <c r="I27" s="40"/>
      <c r="M27" s="38"/>
      <c r="N27" s="38"/>
      <c r="O27" s="39"/>
      <c r="P27" s="38"/>
      <c r="Q27" s="38"/>
      <c r="R27" s="42"/>
      <c r="S27" s="38"/>
      <c r="T27" s="40"/>
    </row>
    <row r="28" spans="2:20" hidden="1" x14ac:dyDescent="0.2">
      <c r="B28" s="34"/>
      <c r="C28" s="34"/>
      <c r="D28" s="35"/>
      <c r="E28" s="34"/>
      <c r="F28" s="43"/>
      <c r="G28" s="44"/>
      <c r="H28" s="45"/>
      <c r="I28" s="46"/>
      <c r="M28" s="34"/>
      <c r="N28" s="34"/>
      <c r="O28" s="34"/>
      <c r="P28" s="34"/>
      <c r="Q28" s="43"/>
      <c r="R28" s="44"/>
      <c r="S28" s="45"/>
      <c r="T28" s="46"/>
    </row>
    <row r="29" spans="2:20" hidden="1" x14ac:dyDescent="0.2"/>
    <row r="30" spans="2:20" hidden="1" x14ac:dyDescent="0.2"/>
  </sheetData>
  <mergeCells count="12">
    <mergeCell ref="B17:I17"/>
    <mergeCell ref="M17:T17"/>
    <mergeCell ref="B18:I18"/>
    <mergeCell ref="M18:T18"/>
    <mergeCell ref="B19:I19"/>
    <mergeCell ref="M19:T19"/>
    <mergeCell ref="B4:I4"/>
    <mergeCell ref="M4:T4"/>
    <mergeCell ref="B5:I5"/>
    <mergeCell ref="M5:T5"/>
    <mergeCell ref="B6:I6"/>
    <mergeCell ref="M6:T6"/>
  </mergeCells>
  <pageMargins left="0.7" right="0.7" top="0.75" bottom="0.75" header="0.3" footer="0.3"/>
  <pageSetup paperSize="9" orientation="portrait" verticalDpi="0" r:id="rId1"/>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27643-9262-440C-BA7E-73C67441B6C6}">
  <sheetPr>
    <tabColor rgb="FFFFC000"/>
  </sheetPr>
  <dimension ref="B2:T24"/>
  <sheetViews>
    <sheetView showGridLines="0" zoomScaleNormal="100" workbookViewId="0"/>
  </sheetViews>
  <sheetFormatPr defaultRowHeight="12.75" x14ac:dyDescent="0.2"/>
  <cols>
    <col min="1" max="1" width="9.140625" style="34"/>
    <col min="2" max="2" width="16.28515625" style="34" bestFit="1" customWidth="1"/>
    <col min="3" max="3" width="9" style="34" customWidth="1"/>
    <col min="4" max="4" width="9.5703125" style="35" customWidth="1"/>
    <col min="5" max="5" width="9.85546875" style="34" customWidth="1"/>
    <col min="6" max="6" width="15.7109375" style="34" customWidth="1"/>
    <col min="7" max="7" width="7.5703125" style="34" customWidth="1"/>
    <col min="8" max="8" width="9.28515625" style="34" customWidth="1"/>
    <col min="9" max="9" width="12.28515625" style="34" customWidth="1"/>
    <col min="11" max="11" width="9.140625" style="14"/>
    <col min="13" max="13" width="16.28515625" style="34" bestFit="1" customWidth="1"/>
    <col min="14" max="14" width="9" style="34" customWidth="1"/>
    <col min="15" max="15" width="9.5703125" style="35" customWidth="1"/>
    <col min="16" max="16" width="10" style="34" customWidth="1"/>
    <col min="17" max="17" width="8.85546875" style="34" bestFit="1" customWidth="1"/>
    <col min="18" max="18" width="7.5703125" style="34" customWidth="1"/>
    <col min="19" max="19" width="14.42578125" style="34" customWidth="1"/>
    <col min="20" max="20" width="12.28515625" style="34" customWidth="1"/>
    <col min="21" max="16384" width="9.140625" style="34"/>
  </cols>
  <sheetData>
    <row r="2" spans="2:20" ht="15.75" x14ac:dyDescent="0.25">
      <c r="B2" s="123">
        <v>2018</v>
      </c>
      <c r="C2" s="123"/>
      <c r="D2" s="123"/>
      <c r="E2" s="123"/>
      <c r="F2" s="123"/>
      <c r="G2" s="123"/>
      <c r="H2" s="123"/>
      <c r="I2" s="123"/>
      <c r="M2" s="123">
        <v>2019</v>
      </c>
      <c r="N2" s="123"/>
      <c r="O2" s="123"/>
      <c r="P2" s="123"/>
      <c r="Q2" s="123"/>
      <c r="R2" s="123"/>
      <c r="S2" s="123"/>
      <c r="T2" s="123"/>
    </row>
    <row r="3" spans="2:20" ht="15.75" customHeight="1" x14ac:dyDescent="0.25">
      <c r="B3" s="123" t="s">
        <v>115</v>
      </c>
      <c r="C3" s="123"/>
      <c r="D3" s="123"/>
      <c r="E3" s="123"/>
      <c r="F3" s="123"/>
      <c r="G3" s="123"/>
      <c r="H3" s="123"/>
      <c r="I3" s="123"/>
      <c r="M3" s="123" t="s">
        <v>120</v>
      </c>
      <c r="N3" s="123"/>
      <c r="O3" s="123"/>
      <c r="P3" s="123"/>
      <c r="Q3" s="123"/>
      <c r="R3" s="123"/>
      <c r="S3" s="123"/>
      <c r="T3" s="123"/>
    </row>
    <row r="4" spans="2:20" ht="15.75" x14ac:dyDescent="0.25">
      <c r="B4" s="123" t="s">
        <v>62</v>
      </c>
      <c r="C4" s="123"/>
      <c r="D4" s="123"/>
      <c r="E4" s="123"/>
      <c r="F4" s="123"/>
      <c r="G4" s="123"/>
      <c r="H4" s="123"/>
      <c r="I4" s="123"/>
      <c r="M4" s="123" t="s">
        <v>62</v>
      </c>
      <c r="N4" s="123"/>
      <c r="O4" s="123"/>
      <c r="P4" s="123"/>
      <c r="Q4" s="123"/>
      <c r="R4" s="123"/>
      <c r="S4" s="123"/>
      <c r="T4" s="123"/>
    </row>
    <row r="6" spans="2:20" x14ac:dyDescent="0.2">
      <c r="B6" s="33" t="s">
        <v>2</v>
      </c>
      <c r="M6" s="33" t="s">
        <v>2</v>
      </c>
    </row>
    <row r="7" spans="2:20" ht="76.5" x14ac:dyDescent="0.2">
      <c r="B7" s="36" t="s">
        <v>3</v>
      </c>
      <c r="C7" s="36" t="s">
        <v>4</v>
      </c>
      <c r="D7" s="37" t="s">
        <v>92</v>
      </c>
      <c r="E7" s="36" t="s">
        <v>93</v>
      </c>
      <c r="F7" s="36" t="s">
        <v>7</v>
      </c>
      <c r="G7" s="36" t="s">
        <v>8</v>
      </c>
      <c r="H7" s="36" t="s">
        <v>91</v>
      </c>
      <c r="I7" s="36" t="s">
        <v>10</v>
      </c>
      <c r="M7" s="36" t="s">
        <v>3</v>
      </c>
      <c r="N7" s="36" t="s">
        <v>4</v>
      </c>
      <c r="O7" s="37" t="s">
        <v>92</v>
      </c>
      <c r="P7" s="36" t="s">
        <v>93</v>
      </c>
      <c r="Q7" s="36" t="s">
        <v>7</v>
      </c>
      <c r="R7" s="36" t="s">
        <v>8</v>
      </c>
      <c r="S7" s="36" t="s">
        <v>91</v>
      </c>
      <c r="T7" s="36" t="s">
        <v>10</v>
      </c>
    </row>
    <row r="8" spans="2:20" x14ac:dyDescent="0.2">
      <c r="B8" s="38" t="s">
        <v>30</v>
      </c>
      <c r="C8" s="38" t="s">
        <v>29</v>
      </c>
      <c r="D8" s="39">
        <v>2.0799999999999999E-2</v>
      </c>
      <c r="E8" s="38">
        <v>4</v>
      </c>
      <c r="F8" s="38">
        <v>30</v>
      </c>
      <c r="G8" s="38">
        <v>4</v>
      </c>
      <c r="H8" s="38">
        <f t="shared" ref="H8:H14" si="0">E8*F8*G8</f>
        <v>480</v>
      </c>
      <c r="I8" s="40">
        <f t="shared" ref="I8:I14" si="1">D8*H8</f>
        <v>9.984</v>
      </c>
      <c r="M8" s="38" t="s">
        <v>30</v>
      </c>
      <c r="N8" s="38" t="s">
        <v>29</v>
      </c>
      <c r="O8" s="41">
        <v>2.0920476190476191E-2</v>
      </c>
      <c r="P8" s="38">
        <v>4</v>
      </c>
      <c r="Q8" s="38">
        <v>30</v>
      </c>
      <c r="R8" s="38">
        <v>4</v>
      </c>
      <c r="S8" s="38">
        <f t="shared" ref="S8:S14" si="2">P8*Q8*R8</f>
        <v>480</v>
      </c>
      <c r="T8" s="40">
        <f t="shared" ref="T8:T14" si="3">O8*S8</f>
        <v>10.041828571428571</v>
      </c>
    </row>
    <row r="9" spans="2:20" x14ac:dyDescent="0.2">
      <c r="B9" s="38" t="s">
        <v>20</v>
      </c>
      <c r="C9" s="38" t="s">
        <v>121</v>
      </c>
      <c r="D9" s="39">
        <v>0.70499999999999996</v>
      </c>
      <c r="E9" s="38">
        <v>2</v>
      </c>
      <c r="F9" s="38">
        <v>30</v>
      </c>
      <c r="G9" s="38">
        <v>4</v>
      </c>
      <c r="H9" s="38">
        <f t="shared" si="0"/>
        <v>240</v>
      </c>
      <c r="I9" s="40">
        <f t="shared" si="1"/>
        <v>169.2</v>
      </c>
      <c r="M9" s="38" t="s">
        <v>20</v>
      </c>
      <c r="N9" s="38" t="s">
        <v>121</v>
      </c>
      <c r="O9" s="41">
        <v>0.65820000000000001</v>
      </c>
      <c r="P9" s="38">
        <v>2</v>
      </c>
      <c r="Q9" s="38">
        <v>30</v>
      </c>
      <c r="R9" s="38">
        <v>4</v>
      </c>
      <c r="S9" s="38">
        <f t="shared" si="2"/>
        <v>240</v>
      </c>
      <c r="T9" s="40">
        <f t="shared" si="3"/>
        <v>157.96799999999999</v>
      </c>
    </row>
    <row r="10" spans="2:20" x14ac:dyDescent="0.2">
      <c r="B10" s="38" t="s">
        <v>72</v>
      </c>
      <c r="C10" s="38" t="s">
        <v>29</v>
      </c>
      <c r="D10" s="39">
        <v>0.26429999999999998</v>
      </c>
      <c r="E10" s="38">
        <v>1.5</v>
      </c>
      <c r="F10" s="38">
        <v>30</v>
      </c>
      <c r="G10" s="38">
        <v>4</v>
      </c>
      <c r="H10" s="38">
        <f t="shared" si="0"/>
        <v>180</v>
      </c>
      <c r="I10" s="40">
        <f t="shared" si="1"/>
        <v>47.573999999999998</v>
      </c>
      <c r="M10" s="38" t="s">
        <v>72</v>
      </c>
      <c r="N10" s="38" t="s">
        <v>29</v>
      </c>
      <c r="O10" s="41">
        <v>0.21953500000000001</v>
      </c>
      <c r="P10" s="38">
        <v>1.5</v>
      </c>
      <c r="Q10" s="38">
        <v>30</v>
      </c>
      <c r="R10" s="38">
        <v>4</v>
      </c>
      <c r="S10" s="38">
        <f t="shared" si="2"/>
        <v>180</v>
      </c>
      <c r="T10" s="40">
        <f t="shared" si="3"/>
        <v>39.516300000000001</v>
      </c>
    </row>
    <row r="11" spans="2:20" x14ac:dyDescent="0.2">
      <c r="B11" s="38" t="s">
        <v>77</v>
      </c>
      <c r="C11" s="38" t="s">
        <v>0</v>
      </c>
      <c r="D11" s="39">
        <v>8.2000000000000003E-2</v>
      </c>
      <c r="E11" s="38">
        <v>2</v>
      </c>
      <c r="F11" s="38">
        <v>30</v>
      </c>
      <c r="G11" s="38">
        <v>4</v>
      </c>
      <c r="H11" s="38">
        <f t="shared" si="0"/>
        <v>240</v>
      </c>
      <c r="I11" s="40">
        <f t="shared" si="1"/>
        <v>19.68</v>
      </c>
      <c r="M11" s="38" t="s">
        <v>77</v>
      </c>
      <c r="N11" s="38" t="s">
        <v>0</v>
      </c>
      <c r="O11" s="41">
        <v>0.10357</v>
      </c>
      <c r="P11" s="38">
        <v>2</v>
      </c>
      <c r="Q11" s="38">
        <v>30</v>
      </c>
      <c r="R11" s="38">
        <v>4</v>
      </c>
      <c r="S11" s="38">
        <f t="shared" si="2"/>
        <v>240</v>
      </c>
      <c r="T11" s="40">
        <f t="shared" si="3"/>
        <v>24.8568</v>
      </c>
    </row>
    <row r="12" spans="2:20" x14ac:dyDescent="0.2">
      <c r="B12" s="38" t="s">
        <v>73</v>
      </c>
      <c r="C12" s="38" t="s">
        <v>33</v>
      </c>
      <c r="D12" s="39">
        <v>0.98240000000000005</v>
      </c>
      <c r="E12" s="38">
        <v>1</v>
      </c>
      <c r="F12" s="38">
        <v>30</v>
      </c>
      <c r="G12" s="42">
        <v>4</v>
      </c>
      <c r="H12" s="38">
        <f t="shared" si="0"/>
        <v>120</v>
      </c>
      <c r="I12" s="40">
        <f t="shared" si="1"/>
        <v>117.88800000000001</v>
      </c>
      <c r="M12" s="38" t="s">
        <v>73</v>
      </c>
      <c r="N12" s="38" t="s">
        <v>33</v>
      </c>
      <c r="O12" s="41">
        <v>0.54</v>
      </c>
      <c r="P12" s="38">
        <v>1</v>
      </c>
      <c r="Q12" s="38">
        <v>30</v>
      </c>
      <c r="R12" s="42">
        <v>4</v>
      </c>
      <c r="S12" s="38">
        <f t="shared" si="2"/>
        <v>120</v>
      </c>
      <c r="T12" s="40">
        <f t="shared" si="3"/>
        <v>64.800000000000011</v>
      </c>
    </row>
    <row r="13" spans="2:20" x14ac:dyDescent="0.2">
      <c r="B13" s="38" t="s">
        <v>31</v>
      </c>
      <c r="C13" s="38" t="s">
        <v>1</v>
      </c>
      <c r="D13" s="39">
        <v>3.1440000000000003E-2</v>
      </c>
      <c r="E13" s="38">
        <v>2</v>
      </c>
      <c r="F13" s="38">
        <v>30</v>
      </c>
      <c r="G13" s="42">
        <v>4</v>
      </c>
      <c r="H13" s="38">
        <f t="shared" si="0"/>
        <v>240</v>
      </c>
      <c r="I13" s="40">
        <f t="shared" si="1"/>
        <v>7.5456000000000003</v>
      </c>
      <c r="M13" s="38" t="s">
        <v>31</v>
      </c>
      <c r="N13" s="38" t="s">
        <v>1</v>
      </c>
      <c r="O13" s="41">
        <v>3.3892857142857141E-2</v>
      </c>
      <c r="P13" s="38">
        <v>2</v>
      </c>
      <c r="Q13" s="38">
        <v>30</v>
      </c>
      <c r="R13" s="42">
        <v>4</v>
      </c>
      <c r="S13" s="38">
        <f t="shared" si="2"/>
        <v>240</v>
      </c>
      <c r="T13" s="40">
        <f t="shared" si="3"/>
        <v>8.1342857142857135</v>
      </c>
    </row>
    <row r="14" spans="2:20" x14ac:dyDescent="0.2">
      <c r="B14" s="38" t="s">
        <v>74</v>
      </c>
      <c r="C14" s="38" t="s">
        <v>32</v>
      </c>
      <c r="D14" s="39">
        <v>1.9740000000000001E-2</v>
      </c>
      <c r="E14" s="38">
        <v>2</v>
      </c>
      <c r="F14" s="42">
        <v>30</v>
      </c>
      <c r="G14" s="42">
        <v>4</v>
      </c>
      <c r="H14" s="42">
        <f t="shared" si="0"/>
        <v>240</v>
      </c>
      <c r="I14" s="40">
        <f t="shared" si="1"/>
        <v>4.7376000000000005</v>
      </c>
      <c r="M14" s="38" t="s">
        <v>74</v>
      </c>
      <c r="N14" s="38" t="s">
        <v>32</v>
      </c>
      <c r="O14" s="41">
        <v>1.9561904761904763E-2</v>
      </c>
      <c r="P14" s="38">
        <v>2</v>
      </c>
      <c r="Q14" s="42">
        <v>30</v>
      </c>
      <c r="R14" s="42">
        <v>4</v>
      </c>
      <c r="S14" s="42">
        <f t="shared" si="2"/>
        <v>240</v>
      </c>
      <c r="T14" s="40">
        <f t="shared" si="3"/>
        <v>4.6948571428571428</v>
      </c>
    </row>
    <row r="15" spans="2:20" x14ac:dyDescent="0.2">
      <c r="F15" s="43"/>
      <c r="G15" s="44"/>
      <c r="H15" s="45" t="s">
        <v>14</v>
      </c>
      <c r="I15" s="46">
        <f>SUM(I8:I14)</f>
        <v>376.60919999999999</v>
      </c>
      <c r="Q15" s="43"/>
      <c r="R15" s="44"/>
      <c r="S15" s="45" t="s">
        <v>14</v>
      </c>
      <c r="T15" s="46">
        <f>SUM(T8:T14)</f>
        <v>310.0120714285714</v>
      </c>
    </row>
    <row r="16" spans="2:20" x14ac:dyDescent="0.2">
      <c r="B16" s="47" t="s">
        <v>15</v>
      </c>
      <c r="M16" s="47" t="s">
        <v>15</v>
      </c>
    </row>
    <row r="17" spans="2:20" ht="76.5" x14ac:dyDescent="0.2">
      <c r="B17" s="48" t="s">
        <v>3</v>
      </c>
      <c r="C17" s="48" t="s">
        <v>4</v>
      </c>
      <c r="D17" s="49" t="s">
        <v>92</v>
      </c>
      <c r="E17" s="48" t="s">
        <v>93</v>
      </c>
      <c r="F17" s="48" t="s">
        <v>7</v>
      </c>
      <c r="G17" s="48" t="s">
        <v>8</v>
      </c>
      <c r="H17" s="48" t="s">
        <v>91</v>
      </c>
      <c r="I17" s="48" t="s">
        <v>26</v>
      </c>
      <c r="M17" s="48" t="s">
        <v>3</v>
      </c>
      <c r="N17" s="48" t="s">
        <v>4</v>
      </c>
      <c r="O17" s="49" t="s">
        <v>92</v>
      </c>
      <c r="P17" s="48" t="s">
        <v>93</v>
      </c>
      <c r="Q17" s="48" t="s">
        <v>7</v>
      </c>
      <c r="R17" s="48" t="s">
        <v>8</v>
      </c>
      <c r="S17" s="48" t="s">
        <v>91</v>
      </c>
      <c r="T17" s="48" t="s">
        <v>26</v>
      </c>
    </row>
    <row r="18" spans="2:20" x14ac:dyDescent="0.2">
      <c r="B18" s="38" t="s">
        <v>30</v>
      </c>
      <c r="C18" s="38" t="s">
        <v>29</v>
      </c>
      <c r="D18" s="39">
        <f>D8</f>
        <v>2.0799999999999999E-2</v>
      </c>
      <c r="E18" s="38">
        <v>4</v>
      </c>
      <c r="F18" s="38">
        <v>30</v>
      </c>
      <c r="G18" s="38">
        <v>5</v>
      </c>
      <c r="H18" s="38">
        <f>E18*F18*G18</f>
        <v>600</v>
      </c>
      <c r="I18" s="40">
        <f>D18*H18</f>
        <v>12.479999999999999</v>
      </c>
      <c r="M18" s="38" t="s">
        <v>30</v>
      </c>
      <c r="N18" s="38" t="s">
        <v>29</v>
      </c>
      <c r="O18" s="39">
        <f>O8</f>
        <v>2.0920476190476191E-2</v>
      </c>
      <c r="P18" s="38">
        <v>4</v>
      </c>
      <c r="Q18" s="38">
        <v>30</v>
      </c>
      <c r="R18" s="38">
        <v>5</v>
      </c>
      <c r="S18" s="38">
        <f>P18*Q18*R18</f>
        <v>600</v>
      </c>
      <c r="T18" s="40">
        <f>O18*S18</f>
        <v>12.552285714285714</v>
      </c>
    </row>
    <row r="19" spans="2:20" x14ac:dyDescent="0.2">
      <c r="B19" s="38" t="s">
        <v>72</v>
      </c>
      <c r="C19" s="38" t="s">
        <v>29</v>
      </c>
      <c r="D19" s="39">
        <f>D10</f>
        <v>0.26429999999999998</v>
      </c>
      <c r="E19" s="38">
        <v>1.5</v>
      </c>
      <c r="F19" s="38">
        <v>30</v>
      </c>
      <c r="G19" s="38">
        <v>5</v>
      </c>
      <c r="H19" s="38">
        <f>E19*F19*G19</f>
        <v>225</v>
      </c>
      <c r="I19" s="40">
        <f>D19*H19</f>
        <v>59.467499999999994</v>
      </c>
      <c r="M19" s="38" t="s">
        <v>72</v>
      </c>
      <c r="N19" s="38" t="s">
        <v>29</v>
      </c>
      <c r="O19" s="39">
        <f>O10</f>
        <v>0.21953500000000001</v>
      </c>
      <c r="P19" s="38">
        <v>1.5</v>
      </c>
      <c r="Q19" s="38">
        <v>30</v>
      </c>
      <c r="R19" s="38">
        <v>5</v>
      </c>
      <c r="S19" s="38">
        <f>P19*Q19*R19</f>
        <v>225</v>
      </c>
      <c r="T19" s="40">
        <f>O19*S19</f>
        <v>49.395375000000001</v>
      </c>
    </row>
    <row r="20" spans="2:20" x14ac:dyDescent="0.2">
      <c r="B20" s="38" t="s">
        <v>77</v>
      </c>
      <c r="C20" s="38" t="s">
        <v>0</v>
      </c>
      <c r="D20" s="39">
        <f>D11</f>
        <v>8.2000000000000003E-2</v>
      </c>
      <c r="E20" s="38">
        <v>2</v>
      </c>
      <c r="F20" s="38">
        <v>30</v>
      </c>
      <c r="G20" s="38">
        <v>5</v>
      </c>
      <c r="H20" s="38">
        <f>E20*F20*G20</f>
        <v>300</v>
      </c>
      <c r="I20" s="40">
        <f>D20*H20</f>
        <v>24.6</v>
      </c>
      <c r="M20" s="38" t="s">
        <v>77</v>
      </c>
      <c r="N20" s="38" t="s">
        <v>0</v>
      </c>
      <c r="O20" s="39">
        <f>O11</f>
        <v>0.10357</v>
      </c>
      <c r="P20" s="38">
        <v>2</v>
      </c>
      <c r="Q20" s="38">
        <v>30</v>
      </c>
      <c r="R20" s="38">
        <v>5</v>
      </c>
      <c r="S20" s="38">
        <f>P20*Q20*R20</f>
        <v>300</v>
      </c>
      <c r="T20" s="40">
        <f>O20*S20</f>
        <v>31.070999999999998</v>
      </c>
    </row>
    <row r="21" spans="2:20" x14ac:dyDescent="0.2">
      <c r="B21" s="38" t="s">
        <v>73</v>
      </c>
      <c r="C21" s="38" t="s">
        <v>33</v>
      </c>
      <c r="D21" s="39">
        <f>D12</f>
        <v>0.98240000000000005</v>
      </c>
      <c r="E21" s="38">
        <v>1</v>
      </c>
      <c r="F21" s="38">
        <v>30</v>
      </c>
      <c r="G21" s="38">
        <v>5</v>
      </c>
      <c r="H21" s="38">
        <f>E21*F21*G21</f>
        <v>150</v>
      </c>
      <c r="I21" s="40">
        <f>D21*H21</f>
        <v>147.36000000000001</v>
      </c>
      <c r="M21" s="38" t="s">
        <v>73</v>
      </c>
      <c r="N21" s="38" t="s">
        <v>33</v>
      </c>
      <c r="O21" s="39">
        <f>O12</f>
        <v>0.54</v>
      </c>
      <c r="P21" s="38">
        <v>1</v>
      </c>
      <c r="Q21" s="38">
        <v>30</v>
      </c>
      <c r="R21" s="38">
        <v>5</v>
      </c>
      <c r="S21" s="38">
        <f>P21*Q21*R21</f>
        <v>150</v>
      </c>
      <c r="T21" s="40">
        <f>O21*S21</f>
        <v>81</v>
      </c>
    </row>
    <row r="22" spans="2:20" x14ac:dyDescent="0.2">
      <c r="F22" s="43"/>
      <c r="G22" s="44"/>
      <c r="H22" s="45" t="s">
        <v>48</v>
      </c>
      <c r="I22" s="46">
        <f>SUM(I18:I21)</f>
        <v>243.9075</v>
      </c>
      <c r="Q22" s="43"/>
      <c r="R22" s="44"/>
      <c r="S22" s="45" t="s">
        <v>48</v>
      </c>
      <c r="T22" s="46">
        <f>SUM(T18:T21)</f>
        <v>174.01866071428572</v>
      </c>
    </row>
    <row r="23" spans="2:20" ht="13.5" thickBot="1" x14ac:dyDescent="0.25"/>
    <row r="24" spans="2:20" ht="13.5" thickBot="1" x14ac:dyDescent="0.25">
      <c r="H24" s="50" t="s">
        <v>34</v>
      </c>
      <c r="I24" s="51">
        <f>I15+I22</f>
        <v>620.51670000000001</v>
      </c>
      <c r="S24" s="50" t="s">
        <v>34</v>
      </c>
      <c r="T24" s="51">
        <f>T15+T22</f>
        <v>484.03073214285712</v>
      </c>
    </row>
  </sheetData>
  <mergeCells count="6">
    <mergeCell ref="B2:I2"/>
    <mergeCell ref="M2:T2"/>
    <mergeCell ref="B3:I3"/>
    <mergeCell ref="M3:T3"/>
    <mergeCell ref="B4:I4"/>
    <mergeCell ref="M4:T4"/>
  </mergeCells>
  <pageMargins left="0.75" right="0.75" top="1" bottom="1" header="0.5" footer="0.5"/>
  <pageSetup paperSize="9" orientation="portrait" r:id="rId1"/>
  <headerFooter alignWithMargins="0"/>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4ECDF-31D4-4B67-A0A4-5164FEF60AF8}">
  <sheetPr>
    <tabColor rgb="FFFFC000"/>
  </sheetPr>
  <dimension ref="B2:T24"/>
  <sheetViews>
    <sheetView showGridLines="0" zoomScaleNormal="100" workbookViewId="0"/>
  </sheetViews>
  <sheetFormatPr defaultRowHeight="12.75" x14ac:dyDescent="0.2"/>
  <cols>
    <col min="1" max="1" width="9.140625" style="34"/>
    <col min="2" max="2" width="16.28515625" style="34" bestFit="1" customWidth="1"/>
    <col min="3" max="3" width="9" style="34" customWidth="1"/>
    <col min="4" max="4" width="9.5703125" style="35" customWidth="1"/>
    <col min="5" max="5" width="9.85546875" style="34" customWidth="1"/>
    <col min="6" max="6" width="15.7109375" style="34" customWidth="1"/>
    <col min="7" max="7" width="7.5703125" style="34" customWidth="1"/>
    <col min="8" max="8" width="9.28515625" style="34" customWidth="1"/>
    <col min="9" max="9" width="12.28515625" style="34" customWidth="1"/>
    <col min="10" max="10" width="9.140625" style="31"/>
    <col min="11" max="11" width="9.140625" style="32"/>
    <col min="12" max="12" width="9.140625" style="31"/>
    <col min="13" max="13" width="16.28515625" style="34" bestFit="1" customWidth="1"/>
    <col min="14" max="14" width="9" style="34" customWidth="1"/>
    <col min="15" max="15" width="9.5703125" style="35" customWidth="1"/>
    <col min="16" max="16" width="10" style="34" customWidth="1"/>
    <col min="17" max="17" width="8.85546875" style="34" bestFit="1" customWidth="1"/>
    <col min="18" max="18" width="7.5703125" style="34" customWidth="1"/>
    <col min="19" max="19" width="14.42578125" style="34" customWidth="1"/>
    <col min="20" max="20" width="12.28515625" style="34" customWidth="1"/>
    <col min="21" max="16384" width="9.140625" style="34"/>
  </cols>
  <sheetData>
    <row r="2" spans="2:20" ht="15.75" x14ac:dyDescent="0.25">
      <c r="B2" s="123">
        <v>2018</v>
      </c>
      <c r="C2" s="123"/>
      <c r="D2" s="123"/>
      <c r="E2" s="123"/>
      <c r="F2" s="123"/>
      <c r="G2" s="123"/>
      <c r="H2" s="123"/>
      <c r="I2" s="123"/>
      <c r="M2" s="123">
        <v>2019</v>
      </c>
      <c r="N2" s="123"/>
      <c r="O2" s="123"/>
      <c r="P2" s="123"/>
      <c r="Q2" s="123"/>
      <c r="R2" s="123"/>
      <c r="S2" s="123"/>
      <c r="T2" s="123"/>
    </row>
    <row r="3" spans="2:20" ht="15.75" customHeight="1" x14ac:dyDescent="0.25">
      <c r="B3" s="123" t="str">
        <f>M3</f>
        <v>Treatment regimen: STR with BDQ instead of Injectable.</v>
      </c>
      <c r="C3" s="123"/>
      <c r="D3" s="123"/>
      <c r="E3" s="123"/>
      <c r="F3" s="123"/>
      <c r="G3" s="123"/>
      <c r="H3" s="123"/>
      <c r="I3" s="123"/>
      <c r="M3" s="123" t="s">
        <v>122</v>
      </c>
      <c r="N3" s="123"/>
      <c r="O3" s="123"/>
      <c r="P3" s="123"/>
      <c r="Q3" s="123"/>
      <c r="R3" s="123"/>
      <c r="S3" s="123"/>
      <c r="T3" s="123"/>
    </row>
    <row r="4" spans="2:20" ht="15.75" x14ac:dyDescent="0.25">
      <c r="B4" s="123" t="s">
        <v>62</v>
      </c>
      <c r="C4" s="123"/>
      <c r="D4" s="123"/>
      <c r="E4" s="123"/>
      <c r="F4" s="123"/>
      <c r="G4" s="123"/>
      <c r="H4" s="123"/>
      <c r="I4" s="123"/>
      <c r="M4" s="123" t="s">
        <v>62</v>
      </c>
      <c r="N4" s="123"/>
      <c r="O4" s="123"/>
      <c r="P4" s="123"/>
      <c r="Q4" s="123"/>
      <c r="R4" s="123"/>
      <c r="S4" s="123"/>
      <c r="T4" s="123"/>
    </row>
    <row r="6" spans="2:20" x14ac:dyDescent="0.2">
      <c r="B6" s="33" t="s">
        <v>2</v>
      </c>
      <c r="M6" s="33" t="s">
        <v>2</v>
      </c>
    </row>
    <row r="7" spans="2:20" ht="76.5" x14ac:dyDescent="0.2">
      <c r="B7" s="36" t="s">
        <v>3</v>
      </c>
      <c r="C7" s="36" t="s">
        <v>4</v>
      </c>
      <c r="D7" s="37" t="s">
        <v>92</v>
      </c>
      <c r="E7" s="36" t="s">
        <v>93</v>
      </c>
      <c r="F7" s="36" t="s">
        <v>7</v>
      </c>
      <c r="G7" s="36" t="s">
        <v>8</v>
      </c>
      <c r="H7" s="36" t="s">
        <v>91</v>
      </c>
      <c r="I7" s="36" t="s">
        <v>10</v>
      </c>
      <c r="M7" s="36" t="s">
        <v>3</v>
      </c>
      <c r="N7" s="36" t="s">
        <v>4</v>
      </c>
      <c r="O7" s="37" t="s">
        <v>92</v>
      </c>
      <c r="P7" s="36" t="s">
        <v>93</v>
      </c>
      <c r="Q7" s="36" t="s">
        <v>7</v>
      </c>
      <c r="R7" s="36" t="s">
        <v>8</v>
      </c>
      <c r="S7" s="36" t="s">
        <v>91</v>
      </c>
      <c r="T7" s="36" t="s">
        <v>10</v>
      </c>
    </row>
    <row r="8" spans="2:20" x14ac:dyDescent="0.2">
      <c r="B8" s="38" t="s">
        <v>30</v>
      </c>
      <c r="C8" s="38" t="s">
        <v>29</v>
      </c>
      <c r="D8" s="39">
        <v>2.0799999999999999E-2</v>
      </c>
      <c r="E8" s="38">
        <v>4</v>
      </c>
      <c r="F8" s="38">
        <v>30</v>
      </c>
      <c r="G8" s="38">
        <v>4</v>
      </c>
      <c r="H8" s="38">
        <f t="shared" ref="H8:H14" si="0">E8*F8*G8</f>
        <v>480</v>
      </c>
      <c r="I8" s="40">
        <f>D8*H8</f>
        <v>9.984</v>
      </c>
      <c r="M8" s="38" t="s">
        <v>30</v>
      </c>
      <c r="N8" s="38" t="s">
        <v>29</v>
      </c>
      <c r="O8" s="41">
        <v>2.0920476190476191E-2</v>
      </c>
      <c r="P8" s="38">
        <v>4</v>
      </c>
      <c r="Q8" s="38">
        <v>30</v>
      </c>
      <c r="R8" s="38">
        <v>4</v>
      </c>
      <c r="S8" s="38">
        <f t="shared" ref="S8:S14" si="1">P8*Q8*R8</f>
        <v>480</v>
      </c>
      <c r="T8" s="40">
        <f t="shared" ref="T8:T14" si="2">O8*S8</f>
        <v>10.041828571428571</v>
      </c>
    </row>
    <row r="9" spans="2:20" x14ac:dyDescent="0.2">
      <c r="B9" s="38" t="s">
        <v>109</v>
      </c>
      <c r="C9" s="38"/>
      <c r="D9" s="39"/>
      <c r="E9" s="38"/>
      <c r="F9" s="38"/>
      <c r="G9" s="38"/>
      <c r="H9" s="38">
        <f t="shared" si="0"/>
        <v>0</v>
      </c>
      <c r="I9" s="40">
        <v>400</v>
      </c>
      <c r="M9" s="38" t="s">
        <v>109</v>
      </c>
      <c r="N9" s="38"/>
      <c r="O9" s="39"/>
      <c r="P9" s="38"/>
      <c r="Q9" s="38"/>
      <c r="R9" s="38"/>
      <c r="S9" s="38">
        <f t="shared" si="1"/>
        <v>0</v>
      </c>
      <c r="T9" s="40">
        <v>400</v>
      </c>
    </row>
    <row r="10" spans="2:20" x14ac:dyDescent="0.2">
      <c r="B10" s="38" t="s">
        <v>72</v>
      </c>
      <c r="C10" s="38" t="s">
        <v>29</v>
      </c>
      <c r="D10" s="39">
        <v>0.26429999999999998</v>
      </c>
      <c r="E10" s="38">
        <v>1.5</v>
      </c>
      <c r="F10" s="38">
        <v>30</v>
      </c>
      <c r="G10" s="38">
        <v>4</v>
      </c>
      <c r="H10" s="38">
        <f t="shared" si="0"/>
        <v>180</v>
      </c>
      <c r="I10" s="40">
        <f>D10*H10</f>
        <v>47.573999999999998</v>
      </c>
      <c r="M10" s="38" t="s">
        <v>72</v>
      </c>
      <c r="N10" s="38" t="s">
        <v>29</v>
      </c>
      <c r="O10" s="41">
        <v>0.21953500000000001</v>
      </c>
      <c r="P10" s="38">
        <v>1.5</v>
      </c>
      <c r="Q10" s="38">
        <v>30</v>
      </c>
      <c r="R10" s="38">
        <v>4</v>
      </c>
      <c r="S10" s="38">
        <f t="shared" si="1"/>
        <v>180</v>
      </c>
      <c r="T10" s="40">
        <f t="shared" si="2"/>
        <v>39.516300000000001</v>
      </c>
    </row>
    <row r="11" spans="2:20" x14ac:dyDescent="0.2">
      <c r="B11" s="38" t="s">
        <v>77</v>
      </c>
      <c r="C11" s="38" t="s">
        <v>0</v>
      </c>
      <c r="D11" s="39">
        <v>8.2000000000000003E-2</v>
      </c>
      <c r="E11" s="38">
        <v>2</v>
      </c>
      <c r="F11" s="38">
        <v>30</v>
      </c>
      <c r="G11" s="38">
        <v>4</v>
      </c>
      <c r="H11" s="38">
        <f t="shared" si="0"/>
        <v>240</v>
      </c>
      <c r="I11" s="40">
        <f>D11*H11</f>
        <v>19.68</v>
      </c>
      <c r="M11" s="38" t="s">
        <v>77</v>
      </c>
      <c r="N11" s="38" t="s">
        <v>0</v>
      </c>
      <c r="O11" s="41">
        <v>0.10357</v>
      </c>
      <c r="P11" s="38">
        <v>2</v>
      </c>
      <c r="Q11" s="38">
        <v>30</v>
      </c>
      <c r="R11" s="38">
        <v>4</v>
      </c>
      <c r="S11" s="38">
        <f t="shared" si="1"/>
        <v>240</v>
      </c>
      <c r="T11" s="40">
        <f t="shared" si="2"/>
        <v>24.8568</v>
      </c>
    </row>
    <row r="12" spans="2:20" x14ac:dyDescent="0.2">
      <c r="B12" s="38" t="s">
        <v>73</v>
      </c>
      <c r="C12" s="38" t="s">
        <v>33</v>
      </c>
      <c r="D12" s="39">
        <v>0.98240000000000005</v>
      </c>
      <c r="E12" s="38">
        <v>1</v>
      </c>
      <c r="F12" s="38">
        <v>30</v>
      </c>
      <c r="G12" s="42">
        <v>4</v>
      </c>
      <c r="H12" s="38">
        <f t="shared" si="0"/>
        <v>120</v>
      </c>
      <c r="I12" s="40">
        <f>D12*H12</f>
        <v>117.88800000000001</v>
      </c>
      <c r="M12" s="38" t="s">
        <v>73</v>
      </c>
      <c r="N12" s="38" t="s">
        <v>33</v>
      </c>
      <c r="O12" s="41">
        <v>0.54</v>
      </c>
      <c r="P12" s="38">
        <v>1</v>
      </c>
      <c r="Q12" s="38">
        <v>30</v>
      </c>
      <c r="R12" s="42">
        <v>4</v>
      </c>
      <c r="S12" s="38">
        <f t="shared" si="1"/>
        <v>120</v>
      </c>
      <c r="T12" s="40">
        <f t="shared" si="2"/>
        <v>64.800000000000011</v>
      </c>
    </row>
    <row r="13" spans="2:20" x14ac:dyDescent="0.2">
      <c r="B13" s="38" t="s">
        <v>31</v>
      </c>
      <c r="C13" s="38" t="s">
        <v>1</v>
      </c>
      <c r="D13" s="39">
        <v>3.1440000000000003E-2</v>
      </c>
      <c r="E13" s="38">
        <v>2</v>
      </c>
      <c r="F13" s="38">
        <v>30</v>
      </c>
      <c r="G13" s="42">
        <v>4</v>
      </c>
      <c r="H13" s="38">
        <f t="shared" si="0"/>
        <v>240</v>
      </c>
      <c r="I13" s="40">
        <f>D13*H13</f>
        <v>7.5456000000000003</v>
      </c>
      <c r="M13" s="38" t="s">
        <v>31</v>
      </c>
      <c r="N13" s="38" t="s">
        <v>1</v>
      </c>
      <c r="O13" s="41">
        <v>3.3892857142857141E-2</v>
      </c>
      <c r="P13" s="38">
        <v>2</v>
      </c>
      <c r="Q13" s="38">
        <v>30</v>
      </c>
      <c r="R13" s="42">
        <v>4</v>
      </c>
      <c r="S13" s="38">
        <f t="shared" si="1"/>
        <v>240</v>
      </c>
      <c r="T13" s="40">
        <f t="shared" si="2"/>
        <v>8.1342857142857135</v>
      </c>
    </row>
    <row r="14" spans="2:20" x14ac:dyDescent="0.2">
      <c r="B14" s="38" t="s">
        <v>74</v>
      </c>
      <c r="C14" s="38" t="s">
        <v>32</v>
      </c>
      <c r="D14" s="39">
        <v>1.9740000000000001E-2</v>
      </c>
      <c r="E14" s="38">
        <v>2</v>
      </c>
      <c r="F14" s="42">
        <v>30</v>
      </c>
      <c r="G14" s="42">
        <v>4</v>
      </c>
      <c r="H14" s="42">
        <f t="shared" si="0"/>
        <v>240</v>
      </c>
      <c r="I14" s="40">
        <f>D14*H14</f>
        <v>4.7376000000000005</v>
      </c>
      <c r="M14" s="38" t="s">
        <v>74</v>
      </c>
      <c r="N14" s="38" t="s">
        <v>32</v>
      </c>
      <c r="O14" s="41">
        <v>1.9561904761904763E-2</v>
      </c>
      <c r="P14" s="38">
        <v>2</v>
      </c>
      <c r="Q14" s="42">
        <v>30</v>
      </c>
      <c r="R14" s="42">
        <v>4</v>
      </c>
      <c r="S14" s="42">
        <f t="shared" si="1"/>
        <v>240</v>
      </c>
      <c r="T14" s="40">
        <f t="shared" si="2"/>
        <v>4.6948571428571428</v>
      </c>
    </row>
    <row r="15" spans="2:20" x14ac:dyDescent="0.2">
      <c r="F15" s="43"/>
      <c r="G15" s="44"/>
      <c r="H15" s="45" t="s">
        <v>14</v>
      </c>
      <c r="I15" s="46">
        <f>SUM(I8:I14)</f>
        <v>607.40920000000006</v>
      </c>
      <c r="Q15" s="43"/>
      <c r="R15" s="44"/>
      <c r="S15" s="45" t="s">
        <v>14</v>
      </c>
      <c r="T15" s="46">
        <f>SUM(T8:T14)</f>
        <v>552.04407142857144</v>
      </c>
    </row>
    <row r="16" spans="2:20" x14ac:dyDescent="0.2">
      <c r="B16" s="47" t="s">
        <v>15</v>
      </c>
      <c r="M16" s="47" t="s">
        <v>15</v>
      </c>
    </row>
    <row r="17" spans="2:20" ht="76.5" x14ac:dyDescent="0.2">
      <c r="B17" s="48" t="s">
        <v>3</v>
      </c>
      <c r="C17" s="48" t="s">
        <v>4</v>
      </c>
      <c r="D17" s="49" t="s">
        <v>92</v>
      </c>
      <c r="E17" s="48" t="s">
        <v>93</v>
      </c>
      <c r="F17" s="48" t="s">
        <v>7</v>
      </c>
      <c r="G17" s="48" t="s">
        <v>8</v>
      </c>
      <c r="H17" s="48" t="s">
        <v>91</v>
      </c>
      <c r="I17" s="48" t="s">
        <v>26</v>
      </c>
      <c r="M17" s="48" t="s">
        <v>3</v>
      </c>
      <c r="N17" s="48" t="s">
        <v>4</v>
      </c>
      <c r="O17" s="49" t="s">
        <v>92</v>
      </c>
      <c r="P17" s="48" t="s">
        <v>93</v>
      </c>
      <c r="Q17" s="48" t="s">
        <v>7</v>
      </c>
      <c r="R17" s="48" t="s">
        <v>8</v>
      </c>
      <c r="S17" s="48" t="s">
        <v>91</v>
      </c>
      <c r="T17" s="48" t="s">
        <v>26</v>
      </c>
    </row>
    <row r="18" spans="2:20" x14ac:dyDescent="0.2">
      <c r="B18" s="38" t="s">
        <v>30</v>
      </c>
      <c r="C18" s="38" t="s">
        <v>29</v>
      </c>
      <c r="D18" s="39">
        <f>D8</f>
        <v>2.0799999999999999E-2</v>
      </c>
      <c r="E18" s="38">
        <v>4</v>
      </c>
      <c r="F18" s="38">
        <v>30</v>
      </c>
      <c r="G18" s="38">
        <v>5</v>
      </c>
      <c r="H18" s="38">
        <f>E18*F18*G18</f>
        <v>600</v>
      </c>
      <c r="I18" s="40">
        <f>D18*H18</f>
        <v>12.479999999999999</v>
      </c>
      <c r="M18" s="38" t="s">
        <v>30</v>
      </c>
      <c r="N18" s="38" t="s">
        <v>29</v>
      </c>
      <c r="O18" s="39">
        <f>O8</f>
        <v>2.0920476190476191E-2</v>
      </c>
      <c r="P18" s="38">
        <v>4</v>
      </c>
      <c r="Q18" s="38">
        <v>30</v>
      </c>
      <c r="R18" s="38">
        <v>5</v>
      </c>
      <c r="S18" s="38">
        <f>P18*Q18*R18</f>
        <v>600</v>
      </c>
      <c r="T18" s="40">
        <f>O18*S18</f>
        <v>12.552285714285714</v>
      </c>
    </row>
    <row r="19" spans="2:20" x14ac:dyDescent="0.2">
      <c r="B19" s="38" t="s">
        <v>72</v>
      </c>
      <c r="C19" s="38" t="s">
        <v>29</v>
      </c>
      <c r="D19" s="39">
        <f>D10</f>
        <v>0.26429999999999998</v>
      </c>
      <c r="E19" s="38">
        <v>1.5</v>
      </c>
      <c r="F19" s="38">
        <v>30</v>
      </c>
      <c r="G19" s="38">
        <v>5</v>
      </c>
      <c r="H19" s="38">
        <f>E19*F19*G19</f>
        <v>225</v>
      </c>
      <c r="I19" s="40">
        <f>D19*H19</f>
        <v>59.467499999999994</v>
      </c>
      <c r="M19" s="38" t="s">
        <v>72</v>
      </c>
      <c r="N19" s="38" t="s">
        <v>29</v>
      </c>
      <c r="O19" s="39">
        <f>O10</f>
        <v>0.21953500000000001</v>
      </c>
      <c r="P19" s="38">
        <v>1.5</v>
      </c>
      <c r="Q19" s="38">
        <v>30</v>
      </c>
      <c r="R19" s="38">
        <v>5</v>
      </c>
      <c r="S19" s="38">
        <f>P19*Q19*R19</f>
        <v>225</v>
      </c>
      <c r="T19" s="40">
        <f>O19*S19</f>
        <v>49.395375000000001</v>
      </c>
    </row>
    <row r="20" spans="2:20" x14ac:dyDescent="0.2">
      <c r="B20" s="38" t="s">
        <v>77</v>
      </c>
      <c r="C20" s="38" t="s">
        <v>0</v>
      </c>
      <c r="D20" s="39">
        <f>D11</f>
        <v>8.2000000000000003E-2</v>
      </c>
      <c r="E20" s="38">
        <v>2</v>
      </c>
      <c r="F20" s="38">
        <v>30</v>
      </c>
      <c r="G20" s="38">
        <v>5</v>
      </c>
      <c r="H20" s="38">
        <f>E20*F20*G20</f>
        <v>300</v>
      </c>
      <c r="I20" s="40">
        <f>D20*H20</f>
        <v>24.6</v>
      </c>
      <c r="M20" s="38" t="s">
        <v>77</v>
      </c>
      <c r="N20" s="38" t="s">
        <v>0</v>
      </c>
      <c r="O20" s="39">
        <f>O11</f>
        <v>0.10357</v>
      </c>
      <c r="P20" s="38">
        <v>2</v>
      </c>
      <c r="Q20" s="38">
        <v>30</v>
      </c>
      <c r="R20" s="38">
        <v>5</v>
      </c>
      <c r="S20" s="38">
        <f>P20*Q20*R20</f>
        <v>300</v>
      </c>
      <c r="T20" s="40">
        <f>O20*S20</f>
        <v>31.070999999999998</v>
      </c>
    </row>
    <row r="21" spans="2:20" x14ac:dyDescent="0.2">
      <c r="B21" s="38" t="s">
        <v>73</v>
      </c>
      <c r="C21" s="38" t="s">
        <v>33</v>
      </c>
      <c r="D21" s="39">
        <f>D12</f>
        <v>0.98240000000000005</v>
      </c>
      <c r="E21" s="38">
        <v>1</v>
      </c>
      <c r="F21" s="38">
        <v>30</v>
      </c>
      <c r="G21" s="38">
        <v>5</v>
      </c>
      <c r="H21" s="38">
        <f>E21*F21*G21</f>
        <v>150</v>
      </c>
      <c r="I21" s="40">
        <f>D21*H21</f>
        <v>147.36000000000001</v>
      </c>
      <c r="M21" s="38" t="s">
        <v>73</v>
      </c>
      <c r="N21" s="38" t="s">
        <v>33</v>
      </c>
      <c r="O21" s="39">
        <f>O12</f>
        <v>0.54</v>
      </c>
      <c r="P21" s="38">
        <v>1</v>
      </c>
      <c r="Q21" s="38">
        <v>30</v>
      </c>
      <c r="R21" s="38">
        <v>5</v>
      </c>
      <c r="S21" s="38">
        <f>P21*Q21*R21</f>
        <v>150</v>
      </c>
      <c r="T21" s="40">
        <f>O21*S21</f>
        <v>81</v>
      </c>
    </row>
    <row r="22" spans="2:20" x14ac:dyDescent="0.2">
      <c r="F22" s="43"/>
      <c r="G22" s="44"/>
      <c r="H22" s="45" t="s">
        <v>48</v>
      </c>
      <c r="I22" s="46">
        <f>SUM(I18:I21)</f>
        <v>243.9075</v>
      </c>
      <c r="Q22" s="43"/>
      <c r="R22" s="44"/>
      <c r="S22" s="45" t="s">
        <v>48</v>
      </c>
      <c r="T22" s="46">
        <f>SUM(T18:T21)</f>
        <v>174.01866071428572</v>
      </c>
    </row>
    <row r="23" spans="2:20" ht="13.5" thickBot="1" x14ac:dyDescent="0.25"/>
    <row r="24" spans="2:20" ht="13.5" thickBot="1" x14ac:dyDescent="0.25">
      <c r="H24" s="50" t="s">
        <v>34</v>
      </c>
      <c r="I24" s="51">
        <f>I15+I22</f>
        <v>851.31670000000008</v>
      </c>
      <c r="S24" s="50" t="s">
        <v>34</v>
      </c>
      <c r="T24" s="51">
        <f>T15+T22</f>
        <v>726.06273214285716</v>
      </c>
    </row>
  </sheetData>
  <mergeCells count="6">
    <mergeCell ref="B2:I2"/>
    <mergeCell ref="M2:T2"/>
    <mergeCell ref="B3:I3"/>
    <mergeCell ref="M3:T3"/>
    <mergeCell ref="B4:I4"/>
    <mergeCell ref="M4:T4"/>
  </mergeCells>
  <pageMargins left="0.75" right="0.75" top="1" bottom="1" header="0.5" footer="0.5"/>
  <pageSetup paperSize="9" orientation="portrait" r:id="rId1"/>
  <headerFooter alignWithMargins="0"/>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11E09-8E07-4B08-AD79-7DB8D36A6663}">
  <sheetPr>
    <tabColor theme="9" tint="0.59999389629810485"/>
  </sheetPr>
  <dimension ref="B3:AC29"/>
  <sheetViews>
    <sheetView showGridLines="0" workbookViewId="0">
      <selection activeCell="B11" sqref="B11:I11"/>
    </sheetView>
  </sheetViews>
  <sheetFormatPr defaultRowHeight="12.75" x14ac:dyDescent="0.2"/>
  <cols>
    <col min="1" max="1" width="9.140625" style="31"/>
    <col min="2" max="2" width="14.140625" style="31" customWidth="1"/>
    <col min="3" max="8" width="9.140625" style="31"/>
    <col min="9" max="9" width="11.140625" style="31" customWidth="1"/>
    <col min="11" max="11" width="9.140625" style="14"/>
    <col min="13" max="13" width="14.5703125" style="31" customWidth="1"/>
    <col min="14" max="21" width="9.140625" style="31"/>
    <col min="22" max="29" width="0" style="31" hidden="1" customWidth="1"/>
    <col min="30" max="16384" width="9.140625" style="31"/>
  </cols>
  <sheetData>
    <row r="3" spans="2:29" x14ac:dyDescent="0.2">
      <c r="B3" s="34"/>
      <c r="C3" s="34"/>
      <c r="D3" s="35"/>
      <c r="E3" s="34"/>
      <c r="F3" s="34"/>
      <c r="G3" s="34"/>
      <c r="H3" s="34"/>
      <c r="I3" s="34"/>
      <c r="M3" s="34"/>
      <c r="N3" s="34"/>
      <c r="O3" s="34"/>
      <c r="P3" s="34"/>
      <c r="Q3" s="34"/>
      <c r="R3" s="34"/>
      <c r="S3" s="34"/>
      <c r="T3" s="34"/>
    </row>
    <row r="4" spans="2:29" ht="15.75" x14ac:dyDescent="0.25">
      <c r="B4" s="123">
        <v>2018</v>
      </c>
      <c r="C4" s="123"/>
      <c r="D4" s="123"/>
      <c r="E4" s="123"/>
      <c r="F4" s="123"/>
      <c r="G4" s="123"/>
      <c r="H4" s="123"/>
      <c r="I4" s="123"/>
      <c r="M4" s="123">
        <v>2019</v>
      </c>
      <c r="N4" s="123"/>
      <c r="O4" s="123"/>
      <c r="P4" s="123"/>
      <c r="Q4" s="123"/>
      <c r="R4" s="123"/>
      <c r="S4" s="123"/>
      <c r="T4" s="123"/>
    </row>
    <row r="5" spans="2:29" ht="15.75" x14ac:dyDescent="0.25">
      <c r="B5" s="123" t="s">
        <v>139</v>
      </c>
      <c r="C5" s="123"/>
      <c r="D5" s="123"/>
      <c r="E5" s="123"/>
      <c r="F5" s="123"/>
      <c r="G5" s="123"/>
      <c r="H5" s="123"/>
      <c r="I5" s="123"/>
      <c r="M5" s="123" t="s">
        <v>139</v>
      </c>
      <c r="N5" s="123"/>
      <c r="O5" s="123"/>
      <c r="P5" s="123"/>
      <c r="Q5" s="123"/>
      <c r="R5" s="123"/>
      <c r="S5" s="123"/>
      <c r="T5" s="123"/>
    </row>
    <row r="6" spans="2:29" ht="15.75" x14ac:dyDescent="0.25">
      <c r="B6" s="127" t="s">
        <v>140</v>
      </c>
      <c r="C6" s="123"/>
      <c r="D6" s="123"/>
      <c r="E6" s="123"/>
      <c r="F6" s="123"/>
      <c r="G6" s="123"/>
      <c r="H6" s="123"/>
      <c r="I6" s="123"/>
      <c r="M6" s="127" t="s">
        <v>140</v>
      </c>
      <c r="N6" s="123"/>
      <c r="O6" s="123"/>
      <c r="P6" s="123"/>
      <c r="Q6" s="123"/>
      <c r="R6" s="123"/>
      <c r="S6" s="123"/>
      <c r="T6" s="123"/>
    </row>
    <row r="7" spans="2:29" ht="15.75" x14ac:dyDescent="0.25">
      <c r="B7" s="34"/>
      <c r="C7" s="60"/>
      <c r="D7" s="60"/>
      <c r="E7" s="60"/>
      <c r="F7" s="60"/>
      <c r="G7" s="60"/>
      <c r="H7" s="60"/>
      <c r="I7" s="60"/>
      <c r="M7" s="34"/>
      <c r="N7" s="60"/>
      <c r="O7" s="60"/>
      <c r="P7" s="60"/>
      <c r="Q7" s="60"/>
      <c r="R7" s="60"/>
      <c r="S7" s="60"/>
      <c r="T7" s="60"/>
    </row>
    <row r="8" spans="2:29" x14ac:dyDescent="0.2">
      <c r="B8" s="34"/>
      <c r="C8" s="34"/>
      <c r="D8" s="35"/>
      <c r="E8" s="34"/>
      <c r="F8" s="34"/>
      <c r="G8" s="34"/>
      <c r="H8" s="34"/>
      <c r="I8" s="34"/>
      <c r="M8" s="34"/>
      <c r="N8" s="34"/>
      <c r="O8" s="34"/>
      <c r="P8" s="34"/>
      <c r="Q8" s="34"/>
      <c r="R8" s="34"/>
      <c r="S8" s="34"/>
      <c r="T8" s="34"/>
    </row>
    <row r="9" spans="2:29" ht="89.25" x14ac:dyDescent="0.2">
      <c r="B9" s="36" t="s">
        <v>3</v>
      </c>
      <c r="C9" s="36" t="s">
        <v>4</v>
      </c>
      <c r="D9" s="36" t="s">
        <v>92</v>
      </c>
      <c r="E9" s="36" t="s">
        <v>93</v>
      </c>
      <c r="F9" s="36" t="s">
        <v>7</v>
      </c>
      <c r="G9" s="36" t="s">
        <v>8</v>
      </c>
      <c r="H9" s="36" t="s">
        <v>91</v>
      </c>
      <c r="I9" s="36" t="s">
        <v>10</v>
      </c>
      <c r="M9" s="36" t="s">
        <v>3</v>
      </c>
      <c r="N9" s="36" t="s">
        <v>4</v>
      </c>
      <c r="O9" s="36" t="s">
        <v>92</v>
      </c>
      <c r="P9" s="36" t="s">
        <v>93</v>
      </c>
      <c r="Q9" s="36" t="s">
        <v>7</v>
      </c>
      <c r="R9" s="36" t="s">
        <v>8</v>
      </c>
      <c r="S9" s="36" t="s">
        <v>91</v>
      </c>
      <c r="T9" s="36" t="s">
        <v>10</v>
      </c>
      <c r="V9" s="36"/>
      <c r="W9" s="36"/>
      <c r="X9" s="36"/>
      <c r="Y9" s="36"/>
      <c r="Z9" s="36"/>
      <c r="AA9" s="36"/>
      <c r="AB9" s="36"/>
      <c r="AC9" s="36"/>
    </row>
    <row r="10" spans="2:29" s="34" customFormat="1" x14ac:dyDescent="0.2">
      <c r="B10" s="38" t="s">
        <v>13</v>
      </c>
      <c r="C10" s="38" t="s">
        <v>135</v>
      </c>
      <c r="D10" s="41">
        <v>0.9</v>
      </c>
      <c r="E10" s="38">
        <v>3</v>
      </c>
      <c r="F10" s="38">
        <v>30</v>
      </c>
      <c r="G10" s="38">
        <v>12</v>
      </c>
      <c r="H10" s="38">
        <f>E10*F10*G10</f>
        <v>1080</v>
      </c>
      <c r="I10" s="40">
        <f>D10*H10</f>
        <v>972</v>
      </c>
      <c r="J10"/>
      <c r="K10" s="14"/>
      <c r="L10"/>
      <c r="M10" s="38" t="s">
        <v>13</v>
      </c>
      <c r="N10" s="38" t="s">
        <v>135</v>
      </c>
      <c r="O10" s="41">
        <v>0.12909999999999999</v>
      </c>
      <c r="P10" s="38">
        <v>3</v>
      </c>
      <c r="Q10" s="38">
        <v>30</v>
      </c>
      <c r="R10" s="38">
        <v>12</v>
      </c>
      <c r="S10" s="38">
        <f>P10*Q10*R10</f>
        <v>1080</v>
      </c>
      <c r="T10" s="40">
        <f>O10*S10</f>
        <v>139.428</v>
      </c>
      <c r="V10" s="38"/>
      <c r="W10" s="38"/>
      <c r="X10" s="39"/>
      <c r="Y10" s="61"/>
      <c r="Z10" s="38"/>
      <c r="AA10" s="38"/>
      <c r="AB10" s="38"/>
      <c r="AC10" s="40"/>
    </row>
    <row r="11" spans="2:29" x14ac:dyDescent="0.2">
      <c r="B11" s="38" t="s">
        <v>113</v>
      </c>
      <c r="C11" s="38"/>
      <c r="D11" s="39"/>
      <c r="E11" s="38"/>
      <c r="F11" s="38"/>
      <c r="G11" s="38"/>
      <c r="H11" s="38">
        <f t="shared" ref="H11:H15" si="0">E11*F11*G11</f>
        <v>0</v>
      </c>
      <c r="I11" s="40"/>
      <c r="M11" s="38" t="s">
        <v>113</v>
      </c>
      <c r="N11" s="38"/>
      <c r="O11" s="39"/>
      <c r="P11" s="38"/>
      <c r="Q11" s="38"/>
      <c r="R11" s="38"/>
      <c r="S11" s="38">
        <f t="shared" ref="S11:S15" si="1">P11*Q11*R11</f>
        <v>0</v>
      </c>
      <c r="T11" s="40"/>
      <c r="V11" s="38"/>
      <c r="W11" s="38"/>
      <c r="X11" s="39"/>
      <c r="Y11" s="38"/>
      <c r="Z11" s="38"/>
      <c r="AA11" s="38"/>
      <c r="AB11" s="38"/>
      <c r="AC11" s="40"/>
    </row>
    <row r="12" spans="2:29" x14ac:dyDescent="0.2">
      <c r="B12" s="38" t="s">
        <v>73</v>
      </c>
      <c r="C12" s="38" t="s">
        <v>136</v>
      </c>
      <c r="D12" s="41">
        <v>0.49120000000000003</v>
      </c>
      <c r="E12" s="38">
        <v>1</v>
      </c>
      <c r="F12" s="38">
        <v>15</v>
      </c>
      <c r="G12" s="38">
        <v>12</v>
      </c>
      <c r="H12" s="38">
        <f t="shared" si="0"/>
        <v>180</v>
      </c>
      <c r="I12" s="40">
        <f>D12*H12</f>
        <v>88.416000000000011</v>
      </c>
      <c r="M12" s="38" t="s">
        <v>73</v>
      </c>
      <c r="N12" s="38" t="s">
        <v>136</v>
      </c>
      <c r="O12" s="41">
        <v>0.35780000000000001</v>
      </c>
      <c r="P12" s="38">
        <v>1</v>
      </c>
      <c r="Q12" s="38">
        <v>15</v>
      </c>
      <c r="R12" s="38">
        <v>12</v>
      </c>
      <c r="S12" s="38">
        <f t="shared" si="1"/>
        <v>180</v>
      </c>
      <c r="T12" s="40">
        <f>O12*S12</f>
        <v>64.403999999999996</v>
      </c>
      <c r="V12" s="38"/>
      <c r="W12" s="38"/>
      <c r="X12" s="39"/>
      <c r="Y12" s="38"/>
      <c r="Z12" s="38"/>
      <c r="AA12" s="38"/>
      <c r="AB12" s="38"/>
      <c r="AC12" s="40"/>
    </row>
    <row r="13" spans="2:29" x14ac:dyDescent="0.2">
      <c r="B13" s="38" t="s">
        <v>28</v>
      </c>
      <c r="C13" s="38" t="s">
        <v>43</v>
      </c>
      <c r="D13" s="41">
        <v>0.42499999999999999</v>
      </c>
      <c r="E13" s="38">
        <v>2</v>
      </c>
      <c r="F13" s="42">
        <v>30</v>
      </c>
      <c r="G13" s="42">
        <v>12</v>
      </c>
      <c r="H13" s="38">
        <f t="shared" si="0"/>
        <v>720</v>
      </c>
      <c r="I13" s="40">
        <f>D13*H13</f>
        <v>306</v>
      </c>
      <c r="M13" s="38" t="s">
        <v>28</v>
      </c>
      <c r="N13" s="38" t="s">
        <v>43</v>
      </c>
      <c r="O13" s="41">
        <v>1</v>
      </c>
      <c r="P13" s="38">
        <v>2</v>
      </c>
      <c r="Q13" s="42">
        <v>30</v>
      </c>
      <c r="R13" s="42">
        <v>12</v>
      </c>
      <c r="S13" s="38">
        <f t="shared" si="1"/>
        <v>720</v>
      </c>
      <c r="T13" s="40">
        <f>O13*S13</f>
        <v>720</v>
      </c>
      <c r="V13" s="38"/>
      <c r="W13" s="38"/>
      <c r="X13" s="39"/>
      <c r="Y13" s="38"/>
      <c r="Z13" s="42"/>
      <c r="AA13" s="42"/>
      <c r="AB13" s="42"/>
      <c r="AC13" s="40"/>
    </row>
    <row r="14" spans="2:29" s="34" customFormat="1" x14ac:dyDescent="0.2">
      <c r="B14" s="38" t="s">
        <v>134</v>
      </c>
      <c r="C14" s="38" t="s">
        <v>136</v>
      </c>
      <c r="D14" s="41">
        <v>2.5297619999999998</v>
      </c>
      <c r="E14" s="38">
        <v>2</v>
      </c>
      <c r="F14" s="38">
        <v>30</v>
      </c>
      <c r="G14" s="42">
        <v>6</v>
      </c>
      <c r="H14" s="38">
        <f t="shared" si="0"/>
        <v>360</v>
      </c>
      <c r="I14" s="40">
        <f>D14*H14</f>
        <v>910.71431999999993</v>
      </c>
      <c r="J14"/>
      <c r="K14" s="14"/>
      <c r="L14"/>
      <c r="M14" s="38" t="s">
        <v>134</v>
      </c>
      <c r="N14" s="38" t="s">
        <v>136</v>
      </c>
      <c r="O14" s="41">
        <v>2.5297619999999998</v>
      </c>
      <c r="P14" s="38">
        <v>2</v>
      </c>
      <c r="Q14" s="38">
        <v>30</v>
      </c>
      <c r="R14" s="42">
        <v>6</v>
      </c>
      <c r="S14" s="38">
        <f t="shared" si="1"/>
        <v>360</v>
      </c>
      <c r="T14" s="40">
        <f>O14*S14</f>
        <v>910.71431999999993</v>
      </c>
      <c r="V14" s="38"/>
      <c r="W14" s="38"/>
      <c r="X14" s="39"/>
      <c r="Y14" s="38"/>
      <c r="Z14" s="38"/>
      <c r="AA14" s="42"/>
      <c r="AB14" s="38"/>
      <c r="AC14" s="40"/>
    </row>
    <row r="15" spans="2:29" x14ac:dyDescent="0.2">
      <c r="B15" s="38" t="s">
        <v>137</v>
      </c>
      <c r="C15" s="38" t="s">
        <v>138</v>
      </c>
      <c r="D15" s="41">
        <v>1.28</v>
      </c>
      <c r="E15" s="38">
        <v>1</v>
      </c>
      <c r="F15" s="38">
        <v>30</v>
      </c>
      <c r="G15" s="42">
        <v>12</v>
      </c>
      <c r="H15" s="38">
        <f t="shared" si="0"/>
        <v>360</v>
      </c>
      <c r="I15" s="40">
        <f>D15*H15</f>
        <v>460.8</v>
      </c>
      <c r="M15" s="38" t="s">
        <v>137</v>
      </c>
      <c r="N15" s="38" t="s">
        <v>138</v>
      </c>
      <c r="O15" s="41">
        <v>1.32</v>
      </c>
      <c r="P15" s="38">
        <v>1</v>
      </c>
      <c r="Q15" s="38">
        <v>30</v>
      </c>
      <c r="R15" s="42">
        <v>12</v>
      </c>
      <c r="S15" s="38">
        <f t="shared" si="1"/>
        <v>360</v>
      </c>
      <c r="T15" s="40">
        <f>O15*S15</f>
        <v>475.20000000000005</v>
      </c>
      <c r="V15" s="34"/>
      <c r="W15" s="34"/>
      <c r="X15" s="34"/>
      <c r="Y15" s="34"/>
      <c r="Z15" s="43"/>
      <c r="AA15" s="44"/>
      <c r="AB15" s="45"/>
      <c r="AC15" s="46"/>
    </row>
    <row r="16" spans="2:29" x14ac:dyDescent="0.2">
      <c r="F16" s="43"/>
      <c r="G16" s="44"/>
      <c r="H16" s="45" t="s">
        <v>141</v>
      </c>
      <c r="I16" s="46">
        <f>SUM(I10:I14)</f>
        <v>2277.1303199999998</v>
      </c>
      <c r="Q16" s="43"/>
      <c r="R16" s="44"/>
      <c r="S16" s="45" t="s">
        <v>141</v>
      </c>
      <c r="T16" s="46">
        <f>SUM(T10:T14)</f>
        <v>1834.5463199999999</v>
      </c>
    </row>
    <row r="17" spans="2:20" ht="15.75" hidden="1" x14ac:dyDescent="0.25">
      <c r="B17" s="123">
        <v>2017</v>
      </c>
      <c r="C17" s="123"/>
      <c r="D17" s="123"/>
      <c r="E17" s="123"/>
      <c r="F17" s="123"/>
      <c r="G17" s="123"/>
      <c r="H17" s="123"/>
      <c r="I17" s="123"/>
      <c r="M17" s="123">
        <v>2018</v>
      </c>
      <c r="N17" s="123"/>
      <c r="O17" s="123"/>
      <c r="P17" s="123"/>
      <c r="Q17" s="123"/>
      <c r="R17" s="123"/>
      <c r="S17" s="123"/>
      <c r="T17" s="123"/>
    </row>
    <row r="18" spans="2:20" ht="15.75" hidden="1" x14ac:dyDescent="0.25">
      <c r="B18" s="123" t="s">
        <v>115</v>
      </c>
      <c r="C18" s="123"/>
      <c r="D18" s="123"/>
      <c r="E18" s="123"/>
      <c r="F18" s="123"/>
      <c r="G18" s="123"/>
      <c r="H18" s="123"/>
      <c r="I18" s="123"/>
      <c r="M18" s="123"/>
      <c r="N18" s="123"/>
      <c r="O18" s="123"/>
      <c r="P18" s="123"/>
      <c r="Q18" s="123"/>
      <c r="R18" s="123"/>
      <c r="S18" s="123"/>
      <c r="T18" s="123"/>
    </row>
    <row r="19" spans="2:20" ht="15.75" hidden="1" x14ac:dyDescent="0.25">
      <c r="B19" s="123" t="s">
        <v>63</v>
      </c>
      <c r="C19" s="123"/>
      <c r="D19" s="123"/>
      <c r="E19" s="123"/>
      <c r="F19" s="123"/>
      <c r="G19" s="123"/>
      <c r="H19" s="123"/>
      <c r="I19" s="123"/>
      <c r="M19" s="123"/>
      <c r="N19" s="123"/>
      <c r="O19" s="123"/>
      <c r="P19" s="123"/>
      <c r="Q19" s="123"/>
      <c r="R19" s="123"/>
      <c r="S19" s="123"/>
      <c r="T19" s="123"/>
    </row>
    <row r="20" spans="2:20" ht="15.75" hidden="1" x14ac:dyDescent="0.25">
      <c r="B20" s="34"/>
      <c r="C20" s="60"/>
      <c r="D20" s="60"/>
      <c r="E20" s="60"/>
      <c r="F20" s="60"/>
      <c r="G20" s="60"/>
      <c r="H20" s="60"/>
      <c r="I20" s="60"/>
      <c r="M20" s="34"/>
      <c r="N20" s="60"/>
      <c r="O20" s="60"/>
      <c r="P20" s="60"/>
      <c r="Q20" s="60"/>
      <c r="R20" s="60"/>
      <c r="S20" s="60"/>
      <c r="T20" s="60"/>
    </row>
    <row r="21" spans="2:20" hidden="1" x14ac:dyDescent="0.2">
      <c r="B21" s="34"/>
      <c r="C21" s="34"/>
      <c r="D21" s="35"/>
      <c r="E21" s="34"/>
      <c r="F21" s="34"/>
      <c r="G21" s="34"/>
      <c r="H21" s="34"/>
      <c r="I21" s="34"/>
      <c r="M21" s="34"/>
      <c r="N21" s="34"/>
      <c r="O21" s="34"/>
      <c r="P21" s="34"/>
      <c r="Q21" s="34"/>
      <c r="R21" s="34"/>
      <c r="S21" s="34"/>
      <c r="T21" s="34"/>
    </row>
    <row r="22" spans="2:20" hidden="1" x14ac:dyDescent="0.2">
      <c r="B22" s="36"/>
      <c r="C22" s="36"/>
      <c r="D22" s="37"/>
      <c r="E22" s="36"/>
      <c r="F22" s="36"/>
      <c r="G22" s="36"/>
      <c r="H22" s="36"/>
      <c r="I22" s="36"/>
      <c r="M22" s="36"/>
      <c r="N22" s="36"/>
      <c r="O22" s="36"/>
      <c r="P22" s="36"/>
      <c r="Q22" s="36"/>
      <c r="R22" s="36"/>
      <c r="S22" s="36"/>
      <c r="T22" s="36"/>
    </row>
    <row r="23" spans="2:20" hidden="1" x14ac:dyDescent="0.2">
      <c r="B23" s="38"/>
      <c r="C23" s="38"/>
      <c r="D23" s="39"/>
      <c r="E23" s="62"/>
      <c r="F23" s="38"/>
      <c r="G23" s="38"/>
      <c r="H23" s="38"/>
      <c r="I23" s="40"/>
      <c r="M23" s="38"/>
      <c r="N23" s="38"/>
      <c r="O23" s="39"/>
      <c r="P23" s="61"/>
      <c r="Q23" s="38"/>
      <c r="R23" s="38"/>
      <c r="S23" s="38"/>
      <c r="T23" s="40"/>
    </row>
    <row r="24" spans="2:20" hidden="1" x14ac:dyDescent="0.2">
      <c r="B24" s="38"/>
      <c r="C24" s="38"/>
      <c r="D24" s="39"/>
      <c r="E24" s="38"/>
      <c r="F24" s="38"/>
      <c r="G24" s="38"/>
      <c r="H24" s="38"/>
      <c r="I24" s="40"/>
      <c r="M24" s="38"/>
      <c r="N24" s="38"/>
      <c r="O24" s="39"/>
      <c r="P24" s="38"/>
      <c r="Q24" s="38"/>
      <c r="R24" s="38"/>
      <c r="S24" s="38"/>
      <c r="T24" s="40"/>
    </row>
    <row r="25" spans="2:20" hidden="1" x14ac:dyDescent="0.2">
      <c r="B25" s="38"/>
      <c r="C25" s="38"/>
      <c r="D25" s="39"/>
      <c r="E25" s="38"/>
      <c r="F25" s="38"/>
      <c r="G25" s="38"/>
      <c r="H25" s="38"/>
      <c r="I25" s="40"/>
      <c r="M25" s="38"/>
      <c r="N25" s="38"/>
      <c r="O25" s="39"/>
      <c r="P25" s="38"/>
      <c r="Q25" s="38"/>
      <c r="R25" s="38"/>
      <c r="S25" s="38"/>
      <c r="T25" s="40"/>
    </row>
    <row r="26" spans="2:20" hidden="1" x14ac:dyDescent="0.2">
      <c r="B26" s="38"/>
      <c r="C26" s="38"/>
      <c r="D26" s="39"/>
      <c r="E26" s="38"/>
      <c r="F26" s="42"/>
      <c r="G26" s="42"/>
      <c r="H26" s="42"/>
      <c r="I26" s="40"/>
      <c r="M26" s="38"/>
      <c r="N26" s="38"/>
      <c r="O26" s="39"/>
      <c r="P26" s="38"/>
      <c r="Q26" s="42"/>
      <c r="R26" s="42"/>
      <c r="S26" s="42"/>
      <c r="T26" s="40"/>
    </row>
    <row r="27" spans="2:20" hidden="1" x14ac:dyDescent="0.2">
      <c r="B27" s="38"/>
      <c r="C27" s="38"/>
      <c r="D27" s="39"/>
      <c r="E27" s="38"/>
      <c r="F27" s="38"/>
      <c r="G27" s="42"/>
      <c r="H27" s="38"/>
      <c r="I27" s="40"/>
      <c r="M27" s="38"/>
      <c r="N27" s="38"/>
      <c r="O27" s="39"/>
      <c r="P27" s="38"/>
      <c r="Q27" s="38"/>
      <c r="R27" s="42"/>
      <c r="S27" s="38"/>
      <c r="T27" s="40"/>
    </row>
    <row r="28" spans="2:20" hidden="1" x14ac:dyDescent="0.2">
      <c r="B28" s="34"/>
      <c r="C28" s="34"/>
      <c r="D28" s="35"/>
      <c r="E28" s="34"/>
      <c r="F28" s="43"/>
      <c r="G28" s="44"/>
      <c r="H28" s="45"/>
      <c r="I28" s="46"/>
      <c r="M28" s="34"/>
      <c r="N28" s="34"/>
      <c r="O28" s="34"/>
      <c r="P28" s="34"/>
      <c r="Q28" s="43"/>
      <c r="R28" s="44"/>
      <c r="S28" s="45"/>
      <c r="T28" s="46"/>
    </row>
    <row r="29" spans="2:20" hidden="1" x14ac:dyDescent="0.2"/>
  </sheetData>
  <mergeCells count="12">
    <mergeCell ref="B4:I4"/>
    <mergeCell ref="M4:T4"/>
    <mergeCell ref="B5:I5"/>
    <mergeCell ref="M5:T5"/>
    <mergeCell ref="B6:I6"/>
    <mergeCell ref="M6:T6"/>
    <mergeCell ref="B17:I17"/>
    <mergeCell ref="M17:T17"/>
    <mergeCell ref="B18:I18"/>
    <mergeCell ref="M18:T18"/>
    <mergeCell ref="B19:I19"/>
    <mergeCell ref="M19:T19"/>
  </mergeCells>
  <pageMargins left="0.7" right="0.7" top="0.75" bottom="0.75" header="0.3" footer="0.3"/>
  <pageSetup paperSize="9" orientation="portrait" verticalDpi="0" r:id="rId1"/>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F70C-795B-42B9-A035-4449942B751E}">
  <sheetPr>
    <tabColor rgb="FFFFC000"/>
  </sheetPr>
  <dimension ref="B2:T33"/>
  <sheetViews>
    <sheetView showGridLines="0" zoomScaleNormal="100" workbookViewId="0"/>
  </sheetViews>
  <sheetFormatPr defaultRowHeight="12.75" x14ac:dyDescent="0.2"/>
  <cols>
    <col min="1" max="1" width="9.140625" style="34"/>
    <col min="2" max="2" width="16.28515625" style="34" bestFit="1" customWidth="1"/>
    <col min="3" max="3" width="9" style="34" customWidth="1"/>
    <col min="4" max="4" width="9.5703125" style="35" customWidth="1"/>
    <col min="5" max="5" width="9.85546875" style="34" customWidth="1"/>
    <col min="6" max="6" width="15.7109375" style="34" customWidth="1"/>
    <col min="7" max="7" width="7.5703125" style="34" customWidth="1"/>
    <col min="8" max="8" width="9.28515625" style="34" customWidth="1"/>
    <col min="9" max="9" width="12.28515625" style="34" customWidth="1"/>
    <col min="10" max="10" width="9.140625" style="31"/>
    <col min="11" max="11" width="9.140625" style="32"/>
    <col min="12" max="12" width="9.140625" style="31"/>
    <col min="13" max="13" width="16.28515625" style="34" bestFit="1" customWidth="1"/>
    <col min="14" max="14" width="9" style="34" customWidth="1"/>
    <col min="15" max="15" width="9.5703125" style="35" customWidth="1"/>
    <col min="16" max="16" width="10" style="34" customWidth="1"/>
    <col min="17" max="17" width="8.85546875" style="34" bestFit="1" customWidth="1"/>
    <col min="18" max="18" width="7.5703125" style="34" customWidth="1"/>
    <col min="19" max="19" width="14.42578125" style="34" customWidth="1"/>
    <col min="20" max="20" width="25.42578125" style="34" customWidth="1"/>
    <col min="21" max="16384" width="9.140625" style="34"/>
  </cols>
  <sheetData>
    <row r="2" spans="2:20" ht="15.75" x14ac:dyDescent="0.25">
      <c r="B2" s="123"/>
      <c r="C2" s="123"/>
      <c r="D2" s="123"/>
      <c r="E2" s="123"/>
      <c r="F2" s="123"/>
      <c r="G2" s="123"/>
      <c r="H2" s="123"/>
      <c r="I2" s="123"/>
      <c r="M2" s="123">
        <v>2019</v>
      </c>
      <c r="N2" s="123"/>
      <c r="O2" s="123"/>
      <c r="P2" s="123"/>
      <c r="Q2" s="123"/>
      <c r="R2" s="123"/>
      <c r="S2" s="123"/>
      <c r="T2" s="123"/>
    </row>
    <row r="3" spans="2:20" ht="15.75" customHeight="1" x14ac:dyDescent="0.25">
      <c r="B3" s="123"/>
      <c r="C3" s="123"/>
      <c r="D3" s="123"/>
      <c r="E3" s="123"/>
      <c r="F3" s="123"/>
      <c r="G3" s="123"/>
      <c r="H3" s="123"/>
      <c r="I3" s="123"/>
      <c r="M3" s="123" t="s">
        <v>156</v>
      </c>
      <c r="N3" s="123"/>
      <c r="O3" s="123"/>
      <c r="P3" s="123"/>
      <c r="Q3" s="123"/>
      <c r="R3" s="123"/>
      <c r="S3" s="123"/>
      <c r="T3" s="123"/>
    </row>
    <row r="4" spans="2:20" ht="15.75" x14ac:dyDescent="0.25">
      <c r="B4" s="123"/>
      <c r="C4" s="123"/>
      <c r="D4" s="123"/>
      <c r="E4" s="123"/>
      <c r="F4" s="123"/>
      <c r="G4" s="123"/>
      <c r="H4" s="123"/>
      <c r="I4" s="123"/>
      <c r="M4" s="123" t="s">
        <v>63</v>
      </c>
      <c r="N4" s="123"/>
      <c r="O4" s="123"/>
      <c r="P4" s="123"/>
      <c r="Q4" s="123"/>
      <c r="R4" s="123"/>
      <c r="S4" s="123"/>
      <c r="T4" s="123"/>
    </row>
    <row r="6" spans="2:20" x14ac:dyDescent="0.2">
      <c r="B6" s="82"/>
      <c r="M6" s="33" t="s">
        <v>142</v>
      </c>
    </row>
    <row r="7" spans="2:20" ht="51" x14ac:dyDescent="0.2">
      <c r="B7" s="83"/>
      <c r="C7" s="83"/>
      <c r="D7" s="84"/>
      <c r="E7" s="83"/>
      <c r="F7" s="83"/>
      <c r="G7" s="83"/>
      <c r="H7" s="83"/>
      <c r="I7" s="83"/>
      <c r="M7" s="36" t="s">
        <v>3</v>
      </c>
      <c r="N7" s="36" t="s">
        <v>4</v>
      </c>
      <c r="O7" s="37" t="s">
        <v>92</v>
      </c>
      <c r="P7" s="36" t="s">
        <v>93</v>
      </c>
      <c r="Q7" s="36" t="s">
        <v>7</v>
      </c>
      <c r="R7" s="36" t="s">
        <v>8</v>
      </c>
      <c r="S7" s="36" t="s">
        <v>91</v>
      </c>
      <c r="T7" s="36" t="s">
        <v>10</v>
      </c>
    </row>
    <row r="8" spans="2:20" x14ac:dyDescent="0.2">
      <c r="I8" s="81"/>
      <c r="M8" s="38" t="s">
        <v>30</v>
      </c>
      <c r="N8" s="38" t="s">
        <v>29</v>
      </c>
      <c r="O8" s="41">
        <v>2.0920476190476191E-2</v>
      </c>
      <c r="P8" s="38">
        <v>4</v>
      </c>
      <c r="Q8" s="38">
        <v>30</v>
      </c>
      <c r="R8" s="38">
        <v>4</v>
      </c>
      <c r="S8" s="38">
        <f t="shared" ref="S8:S14" si="0">P8*Q8*R8</f>
        <v>480</v>
      </c>
      <c r="T8" s="40">
        <f t="shared" ref="T8:T14" si="1">O8*S8</f>
        <v>10.041828571428571</v>
      </c>
    </row>
    <row r="9" spans="2:20" x14ac:dyDescent="0.2">
      <c r="I9" s="81"/>
      <c r="M9" s="38" t="s">
        <v>109</v>
      </c>
      <c r="N9" s="38"/>
      <c r="O9" s="39"/>
      <c r="P9" s="38"/>
      <c r="Q9" s="38"/>
      <c r="R9" s="38"/>
      <c r="S9" s="38">
        <f t="shared" si="0"/>
        <v>0</v>
      </c>
      <c r="T9" s="40">
        <v>400</v>
      </c>
    </row>
    <row r="10" spans="2:20" x14ac:dyDescent="0.2">
      <c r="I10" s="81"/>
      <c r="M10" s="38" t="s">
        <v>72</v>
      </c>
      <c r="N10" s="38" t="s">
        <v>29</v>
      </c>
      <c r="O10" s="41">
        <v>0.21953500000000001</v>
      </c>
      <c r="P10" s="38">
        <v>2</v>
      </c>
      <c r="Q10" s="38">
        <v>30</v>
      </c>
      <c r="R10" s="38">
        <v>4</v>
      </c>
      <c r="S10" s="38">
        <f t="shared" si="0"/>
        <v>240</v>
      </c>
      <c r="T10" s="40">
        <f t="shared" si="1"/>
        <v>52.688400000000001</v>
      </c>
    </row>
    <row r="11" spans="2:20" x14ac:dyDescent="0.2">
      <c r="I11" s="81"/>
      <c r="M11" s="38" t="s">
        <v>113</v>
      </c>
      <c r="N11" s="38" t="s">
        <v>144</v>
      </c>
      <c r="O11" s="41">
        <v>0.10357</v>
      </c>
      <c r="P11" s="38">
        <v>1</v>
      </c>
      <c r="Q11" s="38">
        <v>30</v>
      </c>
      <c r="R11" s="38">
        <v>4</v>
      </c>
      <c r="S11" s="38">
        <f t="shared" si="0"/>
        <v>120</v>
      </c>
      <c r="T11" s="40">
        <f t="shared" si="1"/>
        <v>12.4284</v>
      </c>
    </row>
    <row r="12" spans="2:20" x14ac:dyDescent="0.2">
      <c r="I12" s="81"/>
      <c r="M12" s="38" t="s">
        <v>73</v>
      </c>
      <c r="N12" s="38" t="s">
        <v>33</v>
      </c>
      <c r="O12" s="41">
        <v>0.54</v>
      </c>
      <c r="P12" s="38">
        <v>1</v>
      </c>
      <c r="Q12" s="38">
        <v>30</v>
      </c>
      <c r="R12" s="42">
        <v>4</v>
      </c>
      <c r="S12" s="38">
        <f t="shared" si="0"/>
        <v>120</v>
      </c>
      <c r="T12" s="40">
        <f t="shared" si="1"/>
        <v>64.800000000000011</v>
      </c>
    </row>
    <row r="13" spans="2:20" x14ac:dyDescent="0.2">
      <c r="I13" s="81"/>
      <c r="M13" s="38" t="s">
        <v>31</v>
      </c>
      <c r="N13" s="38" t="s">
        <v>1</v>
      </c>
      <c r="O13" s="41">
        <v>3.3892857142857141E-2</v>
      </c>
      <c r="P13" s="38">
        <v>3</v>
      </c>
      <c r="Q13" s="38">
        <v>30</v>
      </c>
      <c r="R13" s="42">
        <v>4</v>
      </c>
      <c r="S13" s="38">
        <f t="shared" si="0"/>
        <v>360</v>
      </c>
      <c r="T13" s="40">
        <f t="shared" si="1"/>
        <v>12.20142857142857</v>
      </c>
    </row>
    <row r="14" spans="2:20" x14ac:dyDescent="0.2">
      <c r="I14" s="81"/>
      <c r="M14" s="38" t="s">
        <v>74</v>
      </c>
      <c r="N14" s="38" t="s">
        <v>32</v>
      </c>
      <c r="O14" s="41">
        <v>1.9561904761904763E-2</v>
      </c>
      <c r="P14" s="38">
        <v>2</v>
      </c>
      <c r="Q14" s="42">
        <v>30</v>
      </c>
      <c r="R14" s="42">
        <v>4</v>
      </c>
      <c r="S14" s="42">
        <f t="shared" si="0"/>
        <v>240</v>
      </c>
      <c r="T14" s="40">
        <f t="shared" si="1"/>
        <v>4.6948571428571428</v>
      </c>
    </row>
    <row r="15" spans="2:20" x14ac:dyDescent="0.2">
      <c r="G15" s="82"/>
      <c r="H15" s="50"/>
      <c r="I15" s="52"/>
      <c r="Q15" s="43"/>
      <c r="R15" s="44"/>
      <c r="S15" s="45" t="s">
        <v>146</v>
      </c>
      <c r="T15" s="46">
        <f>SUM(T8:T14)</f>
        <v>556.85491428571424</v>
      </c>
    </row>
    <row r="16" spans="2:20" x14ac:dyDescent="0.2">
      <c r="B16" s="82"/>
      <c r="M16" s="47" t="s">
        <v>143</v>
      </c>
    </row>
    <row r="17" spans="2:20" ht="51" x14ac:dyDescent="0.2">
      <c r="B17" s="83"/>
      <c r="C17" s="83"/>
      <c r="D17" s="84"/>
      <c r="E17" s="83"/>
      <c r="F17" s="83"/>
      <c r="G17" s="83"/>
      <c r="H17" s="83"/>
      <c r="I17" s="83"/>
      <c r="M17" s="48" t="s">
        <v>3</v>
      </c>
      <c r="N17" s="48" t="s">
        <v>4</v>
      </c>
      <c r="O17" s="49" t="s">
        <v>92</v>
      </c>
      <c r="P17" s="48" t="s">
        <v>93</v>
      </c>
      <c r="Q17" s="48" t="s">
        <v>7</v>
      </c>
      <c r="R17" s="48" t="s">
        <v>8</v>
      </c>
      <c r="S17" s="48" t="s">
        <v>91</v>
      </c>
      <c r="T17" s="48" t="s">
        <v>26</v>
      </c>
    </row>
    <row r="18" spans="2:20" x14ac:dyDescent="0.2">
      <c r="I18" s="81"/>
      <c r="M18" s="38" t="s">
        <v>30</v>
      </c>
      <c r="N18" s="38" t="s">
        <v>29</v>
      </c>
      <c r="O18" s="41">
        <v>2.0920476190476191E-2</v>
      </c>
      <c r="P18" s="38">
        <v>4</v>
      </c>
      <c r="Q18" s="38">
        <v>30</v>
      </c>
      <c r="R18" s="38">
        <v>2</v>
      </c>
      <c r="S18" s="38">
        <f>P18*Q18*R18</f>
        <v>240</v>
      </c>
      <c r="T18" s="40">
        <f>O18*S18</f>
        <v>5.0209142857142854</v>
      </c>
    </row>
    <row r="19" spans="2:20" x14ac:dyDescent="0.2">
      <c r="I19" s="81"/>
      <c r="M19" s="38" t="s">
        <v>72</v>
      </c>
      <c r="N19" s="38" t="s">
        <v>29</v>
      </c>
      <c r="O19" s="41">
        <v>0.21953500000000001</v>
      </c>
      <c r="P19" s="38">
        <v>2</v>
      </c>
      <c r="Q19" s="38">
        <v>30</v>
      </c>
      <c r="R19" s="38">
        <v>2</v>
      </c>
      <c r="S19" s="38">
        <f>P19*Q19*R19</f>
        <v>120</v>
      </c>
      <c r="T19" s="40">
        <f>O19*S19</f>
        <v>26.344200000000001</v>
      </c>
    </row>
    <row r="20" spans="2:20" x14ac:dyDescent="0.2">
      <c r="I20" s="81"/>
      <c r="M20" s="38" t="s">
        <v>31</v>
      </c>
      <c r="N20" s="38" t="s">
        <v>1</v>
      </c>
      <c r="O20" s="41">
        <v>3.3892857142857141E-2</v>
      </c>
      <c r="P20" s="38">
        <v>3</v>
      </c>
      <c r="Q20" s="38">
        <v>30</v>
      </c>
      <c r="R20" s="42">
        <v>2</v>
      </c>
      <c r="S20" s="38">
        <f t="shared" ref="S20" si="2">P20*Q20*R20</f>
        <v>180</v>
      </c>
      <c r="T20" s="40">
        <f t="shared" ref="T20" si="3">O20*S20</f>
        <v>6.1007142857142851</v>
      </c>
    </row>
    <row r="21" spans="2:20" x14ac:dyDescent="0.2">
      <c r="I21" s="81"/>
      <c r="M21" s="38" t="s">
        <v>73</v>
      </c>
      <c r="N21" s="38" t="s">
        <v>33</v>
      </c>
      <c r="O21" s="41">
        <v>0.54</v>
      </c>
      <c r="P21" s="38">
        <v>1</v>
      </c>
      <c r="Q21" s="38">
        <v>30</v>
      </c>
      <c r="R21" s="38">
        <v>2</v>
      </c>
      <c r="S21" s="38">
        <f>P21*Q21*R21</f>
        <v>60</v>
      </c>
      <c r="T21" s="40">
        <f>O21*S21</f>
        <v>32.400000000000006</v>
      </c>
    </row>
    <row r="22" spans="2:20" x14ac:dyDescent="0.2">
      <c r="G22" s="82"/>
      <c r="H22" s="50"/>
      <c r="I22" s="52"/>
      <c r="M22" s="38" t="s">
        <v>109</v>
      </c>
      <c r="N22" s="38"/>
      <c r="O22" s="39"/>
      <c r="P22" s="38"/>
      <c r="Q22" s="38"/>
      <c r="R22" s="38"/>
      <c r="S22" s="38">
        <f t="shared" ref="S22" si="4">P22*Q22*R22</f>
        <v>0</v>
      </c>
      <c r="T22" s="40"/>
    </row>
    <row r="23" spans="2:20" x14ac:dyDescent="0.2">
      <c r="Q23" s="43"/>
      <c r="R23" s="44"/>
      <c r="S23" s="45" t="s">
        <v>147</v>
      </c>
      <c r="T23" s="46">
        <f>SUM(T18:T21)</f>
        <v>69.86582857142858</v>
      </c>
    </row>
    <row r="24" spans="2:20" x14ac:dyDescent="0.2">
      <c r="H24" s="50"/>
      <c r="I24" s="52"/>
      <c r="M24" s="47" t="s">
        <v>145</v>
      </c>
    </row>
    <row r="25" spans="2:20" ht="51" x14ac:dyDescent="0.2">
      <c r="M25" s="48" t="s">
        <v>3</v>
      </c>
      <c r="N25" s="48" t="s">
        <v>4</v>
      </c>
      <c r="O25" s="49" t="s">
        <v>92</v>
      </c>
      <c r="P25" s="48" t="s">
        <v>93</v>
      </c>
      <c r="Q25" s="48" t="s">
        <v>7</v>
      </c>
      <c r="R25" s="48" t="s">
        <v>8</v>
      </c>
      <c r="S25" s="48" t="s">
        <v>91</v>
      </c>
      <c r="T25" s="48" t="s">
        <v>26</v>
      </c>
    </row>
    <row r="26" spans="2:20" x14ac:dyDescent="0.2">
      <c r="M26" s="38" t="s">
        <v>30</v>
      </c>
      <c r="N26" s="38" t="s">
        <v>29</v>
      </c>
      <c r="O26" s="41">
        <v>2.0920476190476191E-2</v>
      </c>
      <c r="P26" s="38">
        <v>4</v>
      </c>
      <c r="Q26" s="38">
        <v>30</v>
      </c>
      <c r="R26" s="38">
        <v>3</v>
      </c>
      <c r="S26" s="38">
        <f>P26*Q26*R26</f>
        <v>360</v>
      </c>
      <c r="T26" s="40">
        <f>O26*S26</f>
        <v>7.531371428571429</v>
      </c>
    </row>
    <row r="27" spans="2:20" x14ac:dyDescent="0.2">
      <c r="M27" s="38" t="s">
        <v>72</v>
      </c>
      <c r="N27" s="38" t="s">
        <v>29</v>
      </c>
      <c r="O27" s="41">
        <v>0.21953500000000001</v>
      </c>
      <c r="P27" s="38">
        <v>2</v>
      </c>
      <c r="Q27" s="38">
        <v>30</v>
      </c>
      <c r="R27" s="38">
        <v>3</v>
      </c>
      <c r="S27" s="38">
        <f>P27*Q27*R27</f>
        <v>180</v>
      </c>
      <c r="T27" s="40">
        <f>O27*S27</f>
        <v>39.516300000000001</v>
      </c>
    </row>
    <row r="28" spans="2:20" x14ac:dyDescent="0.2">
      <c r="M28" s="38" t="s">
        <v>31</v>
      </c>
      <c r="N28" s="38" t="s">
        <v>1</v>
      </c>
      <c r="O28" s="41">
        <v>3.3892857142857141E-2</v>
      </c>
      <c r="P28" s="38">
        <v>3</v>
      </c>
      <c r="Q28" s="38">
        <v>30</v>
      </c>
      <c r="R28" s="42">
        <v>3</v>
      </c>
      <c r="S28" s="38">
        <f t="shared" ref="S28" si="5">P28*Q28*R28</f>
        <v>270</v>
      </c>
      <c r="T28" s="40">
        <f t="shared" ref="T28" si="6">O28*S28</f>
        <v>9.151071428571429</v>
      </c>
    </row>
    <row r="29" spans="2:20" x14ac:dyDescent="0.2">
      <c r="M29" s="38" t="s">
        <v>73</v>
      </c>
      <c r="N29" s="38" t="s">
        <v>33</v>
      </c>
      <c r="O29" s="41">
        <v>0.54</v>
      </c>
      <c r="P29" s="38">
        <v>1</v>
      </c>
      <c r="Q29" s="38">
        <v>30</v>
      </c>
      <c r="R29" s="38">
        <v>3</v>
      </c>
      <c r="S29" s="38">
        <f>P29*Q29*R29</f>
        <v>90</v>
      </c>
      <c r="T29" s="40">
        <f>O29*S29</f>
        <v>48.6</v>
      </c>
    </row>
    <row r="30" spans="2:20" x14ac:dyDescent="0.2">
      <c r="M30" s="38"/>
      <c r="N30" s="38"/>
      <c r="O30" s="39"/>
      <c r="P30" s="38"/>
      <c r="Q30" s="43"/>
      <c r="R30" s="44"/>
      <c r="S30" s="45" t="s">
        <v>148</v>
      </c>
      <c r="T30" s="46">
        <f>SUM(T26:T29)</f>
        <v>104.79874285714286</v>
      </c>
    </row>
    <row r="32" spans="2:20" ht="13.5" thickBot="1" x14ac:dyDescent="0.25"/>
    <row r="33" spans="19:20" ht="13.5" thickBot="1" x14ac:dyDescent="0.25">
      <c r="S33" s="50" t="s">
        <v>34</v>
      </c>
      <c r="T33" s="51">
        <f>T15+T23+T30</f>
        <v>731.51948571428568</v>
      </c>
    </row>
  </sheetData>
  <mergeCells count="6">
    <mergeCell ref="B2:I2"/>
    <mergeCell ref="M2:T2"/>
    <mergeCell ref="B3:I3"/>
    <mergeCell ref="M3:T3"/>
    <mergeCell ref="B4:I4"/>
    <mergeCell ref="M4:T4"/>
  </mergeCells>
  <pageMargins left="0.75" right="0.75" top="1" bottom="1" header="0.5" footer="0.5"/>
  <pageSetup paperSize="9"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HOME</vt:lpstr>
      <vt:lpstr>SusceptibleTBavPaed 4-7 AV</vt:lpstr>
      <vt:lpstr>SusceptibleTBavPaed 8-11 AV</vt:lpstr>
      <vt:lpstr>SusceptibleTBavPaed 12-15 AV</vt:lpstr>
      <vt:lpstr>SusceptibleTBavPaed 16-24 AV</vt:lpstr>
      <vt:lpstr>SusceptibleTBAdult av 25-39 AV</vt:lpstr>
      <vt:lpstr>SuscTBAdult av 25-39 Cheapest</vt:lpstr>
      <vt:lpstr>SusceptibleTBAdult av 40-54 AV</vt:lpstr>
      <vt:lpstr>SuscTBAdult av 40-54 Cheapest</vt:lpstr>
      <vt:lpstr>SusceptibleTBAdult av 55-70 AV</vt:lpstr>
      <vt:lpstr>SuscTBAdult av 55-70 Cheapest</vt:lpstr>
      <vt:lpstr>SusceptibleTBAdult av &gt; 70 AV</vt:lpstr>
      <vt:lpstr>SusceptibleTBAdult av&gt;70 Cheape</vt:lpstr>
      <vt:lpstr>Old LTR Km Eto</vt:lpstr>
      <vt:lpstr>Old LTR Km Eto cheapest</vt:lpstr>
      <vt:lpstr>Old LTR Mfx Km Eto</vt:lpstr>
      <vt:lpstr>Old LTR Km Pto</vt:lpstr>
      <vt:lpstr>Old LTR Mfx Cm Eto</vt:lpstr>
      <vt:lpstr>Old LTR Cm Eto</vt:lpstr>
      <vt:lpstr>Old LTR Cm Pto</vt:lpstr>
      <vt:lpstr>Old STR 30-50</vt:lpstr>
      <vt:lpstr>STR 30-50 Cheapest</vt:lpstr>
      <vt:lpstr>New LTR Mfx 6 Lnz</vt:lpstr>
      <vt:lpstr>New LTR Mfx 12 Lnz</vt:lpstr>
      <vt:lpstr>New LTR Lfx 6 Lnz</vt:lpstr>
      <vt:lpstr>New LTR Lfx 12 Lnz</vt:lpstr>
      <vt:lpstr>New STR 30-50 Am</vt:lpstr>
      <vt:lpstr>New STR 30-50 BDQ</vt:lpstr>
      <vt:lpstr>New LTR Kids</vt:lpstr>
      <vt:lpstr>Mod STR</vt:lpstr>
    </vt:vector>
  </TitlesOfParts>
  <Company>World Health 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LUNTE, Kaspars</dc:creator>
  <cp:lastModifiedBy>Luiz Fernando Avelino Reciolino</cp:lastModifiedBy>
  <cp:lastPrinted>2011-08-22T15:14:25Z</cp:lastPrinted>
  <dcterms:created xsi:type="dcterms:W3CDTF">2010-11-08T15:35:13Z</dcterms:created>
  <dcterms:modified xsi:type="dcterms:W3CDTF">2019-03-19T15:02:23Z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